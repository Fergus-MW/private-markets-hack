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 terms" sheetId="1" state="visible" r:id="rId1"/>
    <sheet name="Fund defaults" sheetId="2" state="visible" r:id="rId2"/>
    <sheet name="Changes since 2026-06-30" sheetId="3" state="visible" r:id="rId3"/>
    <sheet name="Provenance" sheetId="4" state="visible" r:id="rId4"/>
  </sheets>
  <definedNames>
    <definedName name="_xlnm._FilterDatabase" localSheetId="0" hidden="1">'Fee terms'!$A$10:$S$29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8">
    <font>
      <name val="Calibri"/>
      <family val="2"/>
      <color theme="1"/>
      <sz val="11"/>
      <scheme val="minor"/>
    </font>
    <font>
      <b val="1"/>
      <color rgb="001C1A1A"/>
      <sz val="14"/>
    </font>
    <font>
      <color rgb="006B6B6B"/>
      <sz val="10"/>
    </font>
    <font>
      <b val="1"/>
      <color rgb="001C1A1A"/>
      <sz val="10"/>
    </font>
    <font>
      <color rgb="001C1A1A"/>
      <sz val="10"/>
    </font>
    <font>
      <color rgb="00B26A00"/>
      <sz val="10"/>
    </font>
    <font>
      <b val="1"/>
      <color rgb="00B26A00"/>
      <sz val="10"/>
    </font>
    <font>
      <b val="1"/>
      <color rgb="001C1A1A"/>
      <sz val="12"/>
    </font>
  </fonts>
  <fills count="5">
    <fill>
      <patternFill/>
    </fill>
    <fill>
      <patternFill patternType="gray125"/>
    </fill>
    <fill>
      <patternFill patternType="solid">
        <fgColor rgb="00EAE6E0"/>
      </patternFill>
    </fill>
    <fill>
      <patternFill patternType="solid">
        <fgColor rgb="00FFF6E5"/>
      </patternFill>
    </fill>
    <fill>
      <patternFill patternType="solid">
        <fgColor rgb="00FFE9C2"/>
      </patternFill>
    </fill>
  </fills>
  <borders count="2">
    <border>
      <left/>
      <right/>
      <top/>
      <bottom/>
      <diagonal/>
    </border>
    <border>
      <bottom style="thin">
        <color rgb="00D9D4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vertical="top" wrapText="1"/>
    </xf>
    <xf numFmtId="3" fontId="4" fillId="0" borderId="0" pivotButton="0" quotePrefix="0" xfId="0"/>
    <xf numFmtId="164" fontId="4" fillId="0" borderId="0" pivotButton="0" quotePrefix="0" xfId="0"/>
    <xf numFmtId="10" fontId="4" fillId="0" borderId="0" pivotButton="0" quotePrefix="0" xfId="0"/>
    <xf numFmtId="9" fontId="4" fillId="0" borderId="0" pivotButton="0" quotePrefix="0" xfId="0"/>
    <xf numFmtId="1" fontId="4" fillId="0" borderId="0" pivotButton="0" quotePrefix="0" xfId="0"/>
    <xf numFmtId="0" fontId="4" fillId="3" borderId="0" pivotButton="0" quotePrefix="0" xfId="0"/>
    <xf numFmtId="3" fontId="4" fillId="3" borderId="0" pivotButton="0" quotePrefix="0" xfId="0"/>
    <xf numFmtId="164" fontId="4" fillId="3" borderId="0" pivotButton="0" quotePrefix="0" xfId="0"/>
    <xf numFmtId="10" fontId="4" fillId="4" borderId="0" pivotButton="0" quotePrefix="0" xfId="0"/>
    <xf numFmtId="0" fontId="4" fillId="4" borderId="0" pivotButton="0" quotePrefix="0" xfId="0"/>
    <xf numFmtId="9" fontId="4" fillId="4" borderId="0" pivotButton="0" quotePrefix="0" xfId="0"/>
    <xf numFmtId="1" fontId="4" fillId="4" borderId="0" pivotButton="0" quotePrefix="0" xfId="0"/>
    <xf numFmtId="0" fontId="6" fillId="3" borderId="0" pivotButton="0" quotePrefix="0" xfId="0"/>
    <xf numFmtId="1" fontId="4" fillId="3" borderId="0" pivotButton="0" quotePrefix="0" xfId="0"/>
    <xf numFmtId="3" fontId="3" fillId="0" borderId="0" pivotButton="0" quotePrefix="0" xfId="0"/>
    <xf numFmtId="164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6BCB"/>
    <outlinePr summaryBelow="1" summaryRight="1"/>
    <pageSetUpPr/>
  </sheetPr>
  <dimension ref="A1:S30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4" customWidth="1" min="2" max="2"/>
    <col width="7" customWidth="1" min="3" max="3"/>
    <col width="15" customWidth="1" min="4" max="4"/>
    <col width="10" customWidth="1" min="5" max="5"/>
    <col width="12" customWidth="1" min="6" max="6"/>
    <col width="17" customWidth="1" min="7" max="7"/>
    <col width="12" customWidth="1" min="8" max="8"/>
    <col width="9" customWidth="1" min="9" max="9"/>
    <col width="9" customWidth="1" min="10" max="10"/>
    <col width="7" customWidth="1" min="11" max="11"/>
    <col width="11" customWidth="1" min="12" max="12"/>
    <col width="34" customWidth="1" min="13" max="13"/>
    <col width="30" customWidth="1" min="14" max="14"/>
    <col width="60" customWidth="1" min="15" max="15"/>
    <col width="20" customWidth="1" min="16" max="16"/>
    <col width="13" customWidth="1" min="17" max="17"/>
    <col width="9" customWidth="1" min="18" max="18"/>
    <col width="34" customWidth="1" min="19" max="19"/>
  </cols>
  <sheetData>
    <row r="1">
      <c r="A1" s="1" t="inlineStr">
        <is>
          <t>Fee terms register</t>
        </is>
      </c>
    </row>
    <row r="2">
      <c r="A2" s="2" t="inlineStr">
        <is>
          <t>Rendered from the graph's terms_as_of response for the administrator's own reference. The graph is the record; this file is a copy of it on the date shown, never a source. Edit nothing by hand; re-run the script for a fresh copy.</t>
        </is>
      </c>
    </row>
    <row r="3">
      <c r="A3" s="3" t="inlineStr">
        <is>
          <t>Entity</t>
        </is>
      </c>
      <c r="B3" s="4" t="inlineStr">
        <is>
          <t>Kestrel Lammwick Co-Invest LP  ·  Corvus 2254</t>
        </is>
      </c>
    </row>
    <row r="4">
      <c r="A4" s="3" t="inlineStr">
        <is>
          <t>As-of</t>
        </is>
      </c>
      <c r="B4" s="4" t="inlineStr">
        <is>
          <t>2026-09-30</t>
        </is>
      </c>
    </row>
    <row r="5">
      <c r="A5" s="3" t="inlineStr">
        <is>
          <t>Rows in force</t>
        </is>
      </c>
      <c r="B5" s="4" t="n">
        <v>19</v>
      </c>
    </row>
    <row r="6">
      <c r="A6" s="3" t="inlineStr">
        <is>
          <t>Source</t>
        </is>
      </c>
      <c r="B6" s="4" t="inlineStr">
        <is>
          <t>terms_as_of_2026-09-30.json  ·  sha256 d5612b5b…  ·  fund key b8c8dbc6…</t>
        </is>
      </c>
    </row>
    <row r="7">
      <c r="A7" s="3" t="inlineStr">
        <is>
          <t>Fund defaults</t>
        </is>
      </c>
      <c r="B7" s="4" t="inlineStr">
        <is>
          <t>entity_terms_v1.csv</t>
        </is>
      </c>
    </row>
    <row r="8">
      <c r="A8" s="3" t="inlineStr">
        <is>
          <t>Generated</t>
        </is>
      </c>
      <c r="B8" s="4" t="inlineStr">
        <is>
          <t>2026-09-06T10:48:16+01:00</t>
        </is>
      </c>
    </row>
    <row r="9">
      <c r="A9" s="5" t="inlineStr">
        <is>
          <t>Shaded cells depart from the LPA defaults on the Fund defaults sheet (a side letter or an exemption). The Deviation column names the fields.</t>
        </is>
      </c>
    </row>
    <row r="10" ht="30" customHeight="1">
      <c r="A10" s="6" t="inlineStr">
        <is>
          <t>Investor id</t>
        </is>
      </c>
      <c r="B10" s="6" t="inlineStr">
        <is>
          <t>Investor</t>
        </is>
      </c>
      <c r="C10" s="6" t="inlineStr">
        <is>
          <t>Type</t>
        </is>
      </c>
      <c r="D10" s="6" t="inlineStr">
        <is>
          <t>Commitment</t>
        </is>
      </c>
      <c r="E10" s="6" t="inlineStr">
        <is>
          <t>Share</t>
        </is>
      </c>
      <c r="F10" s="6" t="inlineStr">
        <is>
          <t>Mgmt fee rate p.a.</t>
        </is>
      </c>
      <c r="G10" s="6" t="inlineStr">
        <is>
          <t>Fee basis</t>
        </is>
      </c>
      <c r="H10" s="6" t="inlineStr">
        <is>
          <t>Fee inside commitment</t>
        </is>
      </c>
      <c r="I10" s="6" t="inlineStr">
        <is>
          <t>Offset</t>
        </is>
      </c>
      <c r="J10" s="6" t="inlineStr">
        <is>
          <t>Fee exempt</t>
        </is>
      </c>
      <c r="K10" s="6" t="inlineStr">
        <is>
          <t>MFN</t>
        </is>
      </c>
      <c r="L10" s="6" t="inlineStr">
        <is>
          <t>CAS deadline (days)</t>
        </is>
      </c>
      <c r="M10" s="6" t="inlineStr">
        <is>
          <t>Notices contact</t>
        </is>
      </c>
      <c r="N10" s="6" t="inlineStr">
        <is>
          <t>Notices email</t>
        </is>
      </c>
      <c r="O10" s="6" t="inlineStr">
        <is>
          <t>Source document</t>
        </is>
      </c>
      <c r="P10" s="6" t="inlineStr">
        <is>
          <t>Clause</t>
        </is>
      </c>
      <c r="Q10" s="6" t="inlineStr">
        <is>
          <t>In force from</t>
        </is>
      </c>
      <c r="R10" s="6" t="inlineStr">
        <is>
          <t>Snapshot</t>
        </is>
      </c>
      <c r="S10" s="6" t="inlineStr">
        <is>
          <t>Deviation from LPA</t>
        </is>
      </c>
    </row>
    <row r="11">
      <c r="A11" s="4" t="inlineStr">
        <is>
          <t>6385_54462</t>
        </is>
      </c>
      <c r="B11" s="4" t="inlineStr">
        <is>
          <t>Vanford Investment Pte Ltd</t>
        </is>
      </c>
      <c r="C11" s="4" t="inlineStr">
        <is>
          <t>LP</t>
        </is>
      </c>
      <c r="D11" s="7" t="n">
        <v>27830000</v>
      </c>
      <c r="E11" s="8" t="n">
        <v>0.154612</v>
      </c>
      <c r="F11" s="9" t="n">
        <v>0.01</v>
      </c>
      <c r="G11" s="4" t="inlineStr">
        <is>
          <t>Commitment</t>
        </is>
      </c>
      <c r="H11" s="4" t="inlineStr">
        <is>
          <t>N</t>
        </is>
      </c>
      <c r="I11" s="10" t="n">
        <v>0.8</v>
      </c>
      <c r="J11" s="4" t="inlineStr">
        <is>
          <t>N</t>
        </is>
      </c>
      <c r="K11" s="4" t="inlineStr">
        <is>
          <t>N</t>
        </is>
      </c>
      <c r="L11" s="11" t="n">
        <v>60</v>
      </c>
      <c r="M11" s="4" t="inlineStr">
        <is>
          <t>Investor of record (subscription form)</t>
        </is>
      </c>
      <c r="N11" s="4" t="inlineStr">
        <is>
          <t>n/a</t>
        </is>
      </c>
      <c r="O11" s="4" t="inlineStr">
        <is>
          <t>LPA key terms schedule - Kestrel Lammwick Co-Invest LP (extract)</t>
        </is>
      </c>
      <c r="P11" s="4" t="inlineStr">
        <is>
          <t>8.1, 8.3, 8.5, 12.2</t>
        </is>
      </c>
      <c r="Q11" s="4" t="inlineStr">
        <is>
          <t>2021-11-30</t>
        </is>
      </c>
      <c r="R11" s="4" t="inlineStr">
        <is>
          <t>v2</t>
        </is>
      </c>
      <c r="S11" s="4" t="inlineStr"/>
    </row>
    <row r="12">
      <c r="A12" s="4" t="inlineStr">
        <is>
          <t>4051_19550</t>
        </is>
      </c>
      <c r="B12" s="4" t="inlineStr">
        <is>
          <t>Cantley Thurford Trentfield Lanbeck Yardgarth</t>
        </is>
      </c>
      <c r="C12" s="4" t="inlineStr">
        <is>
          <t>LP</t>
        </is>
      </c>
      <c r="D12" s="7" t="n">
        <v>27760000</v>
      </c>
      <c r="E12" s="8" t="n">
        <v>0.154223</v>
      </c>
      <c r="F12" s="9" t="n">
        <v>0.01</v>
      </c>
      <c r="G12" s="4" t="inlineStr">
        <is>
          <t>Commitment</t>
        </is>
      </c>
      <c r="H12" s="4" t="inlineStr">
        <is>
          <t>N</t>
        </is>
      </c>
      <c r="I12" s="10" t="n">
        <v>0.8</v>
      </c>
      <c r="J12" s="4" t="inlineStr">
        <is>
          <t>N</t>
        </is>
      </c>
      <c r="K12" s="4" t="inlineStr">
        <is>
          <t>N</t>
        </is>
      </c>
      <c r="L12" s="11" t="n">
        <v>60</v>
      </c>
      <c r="M12" s="4" t="inlineStr">
        <is>
          <t>Investor of record (subscription form)</t>
        </is>
      </c>
      <c r="N12" s="4" t="inlineStr">
        <is>
          <t>n/a</t>
        </is>
      </c>
      <c r="O12" s="4" t="inlineStr">
        <is>
          <t>LPA key terms schedule - Kestrel Lammwick Co-Invest LP (extract)</t>
        </is>
      </c>
      <c r="P12" s="4" t="inlineStr">
        <is>
          <t>8.1, 8.3, 8.5, 12.2</t>
        </is>
      </c>
      <c r="Q12" s="4" t="inlineStr">
        <is>
          <t>2021-11-30</t>
        </is>
      </c>
      <c r="R12" s="4" t="inlineStr">
        <is>
          <t>v2</t>
        </is>
      </c>
      <c r="S12" s="4" t="inlineStr"/>
    </row>
    <row r="13">
      <c r="A13" s="4" t="inlineStr">
        <is>
          <t>3858_92723</t>
        </is>
      </c>
      <c r="B13" s="4" t="inlineStr">
        <is>
          <t>CIK Investment Wickdale Private Holdings (4) Inc.</t>
        </is>
      </c>
      <c r="C13" s="4" t="inlineStr">
        <is>
          <t>LP</t>
        </is>
      </c>
      <c r="D13" s="7" t="n">
        <v>21103000</v>
      </c>
      <c r="E13" s="8" t="n">
        <v>0.11724</v>
      </c>
      <c r="F13" s="9" t="n">
        <v>0.01</v>
      </c>
      <c r="G13" s="4" t="inlineStr">
        <is>
          <t>Commitment</t>
        </is>
      </c>
      <c r="H13" s="4" t="inlineStr">
        <is>
          <t>N</t>
        </is>
      </c>
      <c r="I13" s="10" t="n">
        <v>0.8</v>
      </c>
      <c r="J13" s="4" t="inlineStr">
        <is>
          <t>N</t>
        </is>
      </c>
      <c r="K13" s="4" t="inlineStr">
        <is>
          <t>N</t>
        </is>
      </c>
      <c r="L13" s="11" t="n">
        <v>60</v>
      </c>
      <c r="M13" s="4" t="inlineStr">
        <is>
          <t>Investor of record (subscription form)</t>
        </is>
      </c>
      <c r="N13" s="4" t="inlineStr">
        <is>
          <t>n/a</t>
        </is>
      </c>
      <c r="O13" s="4" t="inlineStr">
        <is>
          <t>LPA key terms schedule - Kestrel Lammwick Co-Invest LP (extract)</t>
        </is>
      </c>
      <c r="P13" s="4" t="inlineStr">
        <is>
          <t>8.1, 8.3, 8.5, 12.2</t>
        </is>
      </c>
      <c r="Q13" s="4" t="inlineStr">
        <is>
          <t>2021-11-30</t>
        </is>
      </c>
      <c r="R13" s="4" t="inlineStr">
        <is>
          <t>v2</t>
        </is>
      </c>
      <c r="S13" s="4" t="inlineStr"/>
    </row>
    <row r="14">
      <c r="A14" s="4" t="inlineStr">
        <is>
          <t>6247_11149</t>
        </is>
      </c>
      <c r="B14" s="4" t="inlineStr">
        <is>
          <t>NUV16SUN Penmont Ltd.</t>
        </is>
      </c>
      <c r="C14" s="4" t="inlineStr">
        <is>
          <t>LP</t>
        </is>
      </c>
      <c r="D14" s="7" t="n">
        <v>16900000</v>
      </c>
      <c r="E14" s="8" t="n">
        <v>0.093889</v>
      </c>
      <c r="F14" s="9" t="n">
        <v>0.01</v>
      </c>
      <c r="G14" s="4" t="inlineStr">
        <is>
          <t>Commitment</t>
        </is>
      </c>
      <c r="H14" s="4" t="inlineStr">
        <is>
          <t>N</t>
        </is>
      </c>
      <c r="I14" s="10" t="n">
        <v>0.8</v>
      </c>
      <c r="J14" s="4" t="inlineStr">
        <is>
          <t>N</t>
        </is>
      </c>
      <c r="K14" s="4" t="inlineStr">
        <is>
          <t>N</t>
        </is>
      </c>
      <c r="L14" s="11" t="n">
        <v>60</v>
      </c>
      <c r="M14" s="4" t="inlineStr">
        <is>
          <t>Investor of record (subscription form)</t>
        </is>
      </c>
      <c r="N14" s="4" t="inlineStr">
        <is>
          <t>n/a</t>
        </is>
      </c>
      <c r="O14" s="4" t="inlineStr">
        <is>
          <t>LPA key terms schedule - Kestrel Lammwick Co-Invest LP (extract)</t>
        </is>
      </c>
      <c r="P14" s="4" t="inlineStr">
        <is>
          <t>8.1, 8.3, 8.5, 12.2</t>
        </is>
      </c>
      <c r="Q14" s="4" t="inlineStr">
        <is>
          <t>2021-11-30</t>
        </is>
      </c>
      <c r="R14" s="4" t="inlineStr">
        <is>
          <t>v2</t>
        </is>
      </c>
      <c r="S14" s="4" t="inlineStr"/>
    </row>
    <row r="15">
      <c r="A15" s="4" t="inlineStr">
        <is>
          <t>4108_63195</t>
        </is>
      </c>
      <c r="B15" s="4" t="inlineStr">
        <is>
          <t>Thurford of Davgarth Investment Wickdale</t>
        </is>
      </c>
      <c r="C15" s="4" t="inlineStr">
        <is>
          <t>LP</t>
        </is>
      </c>
      <c r="D15" s="7" t="n">
        <v>14959000</v>
      </c>
      <c r="E15" s="8" t="n">
        <v>0.083106</v>
      </c>
      <c r="F15" s="9" t="n">
        <v>0.01</v>
      </c>
      <c r="G15" s="4" t="inlineStr">
        <is>
          <t>Commitment</t>
        </is>
      </c>
      <c r="H15" s="4" t="inlineStr">
        <is>
          <t>N</t>
        </is>
      </c>
      <c r="I15" s="10" t="n">
        <v>0.8</v>
      </c>
      <c r="J15" s="4" t="inlineStr">
        <is>
          <t>N</t>
        </is>
      </c>
      <c r="K15" s="4" t="inlineStr">
        <is>
          <t>N</t>
        </is>
      </c>
      <c r="L15" s="11" t="n">
        <v>60</v>
      </c>
      <c r="M15" s="4" t="inlineStr">
        <is>
          <t>Investor of record (subscription form)</t>
        </is>
      </c>
      <c r="N15" s="4" t="inlineStr">
        <is>
          <t>n/a</t>
        </is>
      </c>
      <c r="O15" s="4" t="inlineStr">
        <is>
          <t>LPA key terms schedule - Kestrel Lammwick Co-Invest LP (extract)</t>
        </is>
      </c>
      <c r="P15" s="4" t="inlineStr">
        <is>
          <t>8.1, 8.3, 8.5, 12.2</t>
        </is>
      </c>
      <c r="Q15" s="4" t="inlineStr">
        <is>
          <t>2021-11-30</t>
        </is>
      </c>
      <c r="R15" s="4" t="inlineStr">
        <is>
          <t>v2</t>
        </is>
      </c>
      <c r="S15" s="4" t="inlineStr"/>
    </row>
    <row r="16">
      <c r="A16" s="12" t="inlineStr">
        <is>
          <t>7335_02891</t>
        </is>
      </c>
      <c r="B16" s="12" t="inlineStr">
        <is>
          <t>Trentcombe Fund Investors LLC</t>
        </is>
      </c>
      <c r="C16" s="12" t="inlineStr">
        <is>
          <t>LP</t>
        </is>
      </c>
      <c r="D16" s="13" t="n">
        <v>13916000</v>
      </c>
      <c r="E16" s="14" t="n">
        <v>0.07731200000000001</v>
      </c>
      <c r="F16" s="15" t="n">
        <v>0.0075</v>
      </c>
      <c r="G16" s="16" t="inlineStr">
        <is>
          <t>Invested Capital</t>
        </is>
      </c>
      <c r="H16" s="16" t="inlineStr">
        <is>
          <t>Y</t>
        </is>
      </c>
      <c r="I16" s="17" t="n">
        <v>1</v>
      </c>
      <c r="J16" s="12" t="inlineStr">
        <is>
          <t>N</t>
        </is>
      </c>
      <c r="K16" s="16" t="inlineStr">
        <is>
          <t>Y</t>
        </is>
      </c>
      <c r="L16" s="18" t="n">
        <v>45</v>
      </c>
      <c r="M16" s="12" t="inlineStr">
        <is>
          <t>Kevin Gu, Head of Fund Operations</t>
        </is>
      </c>
      <c r="N16" s="12" t="inlineStr">
        <is>
          <t>kevin.gu@gradient-path.com</t>
        </is>
      </c>
      <c r="O16" s="12" t="inlineStr">
        <is>
          <t>Side letter SL-TRENTCOMBE-2026-01 (amended and restated) effective 2026-07-01</t>
        </is>
      </c>
      <c r="P16" s="12" t="inlineStr">
        <is>
          <t>2(a), 2(b), 2(c), 5, 6</t>
        </is>
      </c>
      <c r="Q16" s="12" t="inlineStr">
        <is>
          <t>2026-07-01</t>
        </is>
      </c>
      <c r="R16" s="12" t="inlineStr">
        <is>
          <t>v2</t>
        </is>
      </c>
      <c r="S16" s="19" t="inlineStr">
        <is>
          <t>rate, basis, fee inside commitment, offset, MFN, CAS deadline</t>
        </is>
      </c>
    </row>
    <row r="17">
      <c r="A17" s="4" t="inlineStr">
        <is>
          <t>4130_22337</t>
        </is>
      </c>
      <c r="B17" s="4" t="inlineStr">
        <is>
          <t>Selstead TUW-Zellley</t>
        </is>
      </c>
      <c r="C17" s="4" t="inlineStr">
        <is>
          <t>LP</t>
        </is>
      </c>
      <c r="D17" s="7" t="n">
        <v>10200000</v>
      </c>
      <c r="E17" s="8" t="n">
        <v>0.056667</v>
      </c>
      <c r="F17" s="9" t="n">
        <v>0.01</v>
      </c>
      <c r="G17" s="4" t="inlineStr">
        <is>
          <t>Commitment</t>
        </is>
      </c>
      <c r="H17" s="4" t="inlineStr">
        <is>
          <t>N</t>
        </is>
      </c>
      <c r="I17" s="10" t="n">
        <v>0.8</v>
      </c>
      <c r="J17" s="4" t="inlineStr">
        <is>
          <t>N</t>
        </is>
      </c>
      <c r="K17" s="4" t="inlineStr">
        <is>
          <t>N</t>
        </is>
      </c>
      <c r="L17" s="11" t="n">
        <v>60</v>
      </c>
      <c r="M17" s="4" t="inlineStr">
        <is>
          <t>Investor of record (subscription form)</t>
        </is>
      </c>
      <c r="N17" s="4" t="inlineStr">
        <is>
          <t>n/a</t>
        </is>
      </c>
      <c r="O17" s="4" t="inlineStr">
        <is>
          <t>LPA key terms schedule - Kestrel Lammwick Co-Invest LP (extract)</t>
        </is>
      </c>
      <c r="P17" s="4" t="inlineStr">
        <is>
          <t>8.1, 8.3, 8.5, 12.2</t>
        </is>
      </c>
      <c r="Q17" s="4" t="inlineStr">
        <is>
          <t>2021-11-30</t>
        </is>
      </c>
      <c r="R17" s="4" t="inlineStr">
        <is>
          <t>v2</t>
        </is>
      </c>
      <c r="S17" s="4" t="inlineStr"/>
    </row>
    <row r="18">
      <c r="A18" s="4" t="inlineStr">
        <is>
          <t>4324_22834</t>
        </is>
      </c>
      <c r="B18" s="4" t="inlineStr">
        <is>
          <t>Oakbeck Investments Private Equity Fund, L.P.</t>
        </is>
      </c>
      <c r="C18" s="4" t="inlineStr">
        <is>
          <t>LP</t>
        </is>
      </c>
      <c r="D18" s="7" t="n">
        <v>7034000</v>
      </c>
      <c r="E18" s="8" t="n">
        <v>0.039078</v>
      </c>
      <c r="F18" s="9" t="n">
        <v>0.01</v>
      </c>
      <c r="G18" s="4" t="inlineStr">
        <is>
          <t>Commitment</t>
        </is>
      </c>
      <c r="H18" s="4" t="inlineStr">
        <is>
          <t>N</t>
        </is>
      </c>
      <c r="I18" s="10" t="n">
        <v>0.8</v>
      </c>
      <c r="J18" s="4" t="inlineStr">
        <is>
          <t>N</t>
        </is>
      </c>
      <c r="K18" s="4" t="inlineStr">
        <is>
          <t>N</t>
        </is>
      </c>
      <c r="L18" s="11" t="n">
        <v>60</v>
      </c>
      <c r="M18" s="4" t="inlineStr">
        <is>
          <t>Investor of record (subscription form)</t>
        </is>
      </c>
      <c r="N18" s="4" t="inlineStr">
        <is>
          <t>n/a</t>
        </is>
      </c>
      <c r="O18" s="4" t="inlineStr">
        <is>
          <t>LPA key terms schedule - Kestrel Lammwick Co-Invest LP (extract)</t>
        </is>
      </c>
      <c r="P18" s="4" t="inlineStr">
        <is>
          <t>8.1, 8.3, 8.5, 12.2</t>
        </is>
      </c>
      <c r="Q18" s="4" t="inlineStr">
        <is>
          <t>2021-11-30</t>
        </is>
      </c>
      <c r="R18" s="4" t="inlineStr">
        <is>
          <t>v2</t>
        </is>
      </c>
      <c r="S18" s="4" t="inlineStr"/>
    </row>
    <row r="19">
      <c r="A19" s="4" t="inlineStr">
        <is>
          <t>5719_43500</t>
        </is>
      </c>
      <c r="B19" s="4" t="inlineStr">
        <is>
          <t>Eddwick Co-Investment Holdings V, L.P.</t>
        </is>
      </c>
      <c r="C19" s="4" t="inlineStr">
        <is>
          <t>LP</t>
        </is>
      </c>
      <c r="D19" s="7" t="n">
        <v>7034000</v>
      </c>
      <c r="E19" s="8" t="n">
        <v>0.039078</v>
      </c>
      <c r="F19" s="9" t="n">
        <v>0.01</v>
      </c>
      <c r="G19" s="4" t="inlineStr">
        <is>
          <t>Commitment</t>
        </is>
      </c>
      <c r="H19" s="4" t="inlineStr">
        <is>
          <t>N</t>
        </is>
      </c>
      <c r="I19" s="10" t="n">
        <v>0.8</v>
      </c>
      <c r="J19" s="4" t="inlineStr">
        <is>
          <t>N</t>
        </is>
      </c>
      <c r="K19" s="4" t="inlineStr">
        <is>
          <t>N</t>
        </is>
      </c>
      <c r="L19" s="11" t="n">
        <v>60</v>
      </c>
      <c r="M19" s="4" t="inlineStr">
        <is>
          <t>Investor of record (subscription form)</t>
        </is>
      </c>
      <c r="N19" s="4" t="inlineStr">
        <is>
          <t>n/a</t>
        </is>
      </c>
      <c r="O19" s="4" t="inlineStr">
        <is>
          <t>LPA key terms schedule - Kestrel Lammwick Co-Invest LP (extract)</t>
        </is>
      </c>
      <c r="P19" s="4" t="inlineStr">
        <is>
          <t>8.1, 8.3, 8.5, 12.2</t>
        </is>
      </c>
      <c r="Q19" s="4" t="inlineStr">
        <is>
          <t>2021-11-30</t>
        </is>
      </c>
      <c r="R19" s="4" t="inlineStr">
        <is>
          <t>v2</t>
        </is>
      </c>
      <c r="S19" s="4" t="inlineStr"/>
    </row>
    <row r="20">
      <c r="A20" s="4" t="inlineStr">
        <is>
          <t>0386_00038</t>
        </is>
      </c>
      <c r="B20" s="4" t="inlineStr">
        <is>
          <t>Thurford Wrenmere Steenvale Limited as covwold of Lindcombe Lanbeck NODE</t>
        </is>
      </c>
      <c r="C20" s="4" t="inlineStr">
        <is>
          <t>LP</t>
        </is>
      </c>
      <c r="D20" s="7" t="n">
        <v>6958000</v>
      </c>
      <c r="E20" s="8" t="n">
        <v>0.038656</v>
      </c>
      <c r="F20" s="9" t="n">
        <v>0.01</v>
      </c>
      <c r="G20" s="4" t="inlineStr">
        <is>
          <t>Commitment</t>
        </is>
      </c>
      <c r="H20" s="4" t="inlineStr">
        <is>
          <t>N</t>
        </is>
      </c>
      <c r="I20" s="10" t="n">
        <v>0.8</v>
      </c>
      <c r="J20" s="4" t="inlineStr">
        <is>
          <t>N</t>
        </is>
      </c>
      <c r="K20" s="4" t="inlineStr">
        <is>
          <t>N</t>
        </is>
      </c>
      <c r="L20" s="11" t="n">
        <v>60</v>
      </c>
      <c r="M20" s="4" t="inlineStr">
        <is>
          <t>Investor of record (subscription form)</t>
        </is>
      </c>
      <c r="N20" s="4" t="inlineStr">
        <is>
          <t>n/a</t>
        </is>
      </c>
      <c r="O20" s="4" t="inlineStr">
        <is>
          <t>LPA key terms schedule - Kestrel Lammwick Co-Invest LP (extract)</t>
        </is>
      </c>
      <c r="P20" s="4" t="inlineStr">
        <is>
          <t>8.1, 8.3, 8.5, 12.2</t>
        </is>
      </c>
      <c r="Q20" s="4" t="inlineStr">
        <is>
          <t>2021-11-30</t>
        </is>
      </c>
      <c r="R20" s="4" t="inlineStr">
        <is>
          <t>v2</t>
        </is>
      </c>
      <c r="S20" s="4" t="inlineStr"/>
    </row>
    <row r="21">
      <c r="A21" s="4" t="inlineStr">
        <is>
          <t>2215_32092</t>
        </is>
      </c>
      <c r="B21" s="4" t="inlineStr">
        <is>
          <t>Clanfield Lanbeck Yardgarth of Ostdale</t>
        </is>
      </c>
      <c r="C21" s="4" t="inlineStr">
        <is>
          <t>LP</t>
        </is>
      </c>
      <c r="D21" s="7" t="n">
        <v>6958000</v>
      </c>
      <c r="E21" s="8" t="n">
        <v>0.038656</v>
      </c>
      <c r="F21" s="9" t="n">
        <v>0.01</v>
      </c>
      <c r="G21" s="4" t="inlineStr">
        <is>
          <t>Commitment</t>
        </is>
      </c>
      <c r="H21" s="4" t="inlineStr">
        <is>
          <t>N</t>
        </is>
      </c>
      <c r="I21" s="10" t="n">
        <v>0.8</v>
      </c>
      <c r="J21" s="4" t="inlineStr">
        <is>
          <t>N</t>
        </is>
      </c>
      <c r="K21" s="4" t="inlineStr">
        <is>
          <t>N</t>
        </is>
      </c>
      <c r="L21" s="11" t="n">
        <v>60</v>
      </c>
      <c r="M21" s="4" t="inlineStr">
        <is>
          <t>Investor of record (subscription form)</t>
        </is>
      </c>
      <c r="N21" s="4" t="inlineStr">
        <is>
          <t>n/a</t>
        </is>
      </c>
      <c r="O21" s="4" t="inlineStr">
        <is>
          <t>LPA key terms schedule - Kestrel Lammwick Co-Invest LP (extract)</t>
        </is>
      </c>
      <c r="P21" s="4" t="inlineStr">
        <is>
          <t>8.1, 8.3, 8.5, 12.2</t>
        </is>
      </c>
      <c r="Q21" s="4" t="inlineStr">
        <is>
          <t>2021-11-30</t>
        </is>
      </c>
      <c r="R21" s="4" t="inlineStr">
        <is>
          <t>v2</t>
        </is>
      </c>
      <c r="S21" s="4" t="inlineStr"/>
    </row>
    <row r="22">
      <c r="A22" s="4" t="inlineStr">
        <is>
          <t>6250_22863</t>
        </is>
      </c>
      <c r="B22" s="4" t="inlineStr">
        <is>
          <t>Innfield Brinbeck Global Private Equity LP</t>
        </is>
      </c>
      <c r="C22" s="4" t="inlineStr">
        <is>
          <t>LP</t>
        </is>
      </c>
      <c r="D22" s="7" t="n">
        <v>5275000</v>
      </c>
      <c r="E22" s="8" t="n">
        <v>0.029306</v>
      </c>
      <c r="F22" s="9" t="n">
        <v>0.01</v>
      </c>
      <c r="G22" s="4" t="inlineStr">
        <is>
          <t>Commitment</t>
        </is>
      </c>
      <c r="H22" s="4" t="inlineStr">
        <is>
          <t>N</t>
        </is>
      </c>
      <c r="I22" s="10" t="n">
        <v>0.8</v>
      </c>
      <c r="J22" s="4" t="inlineStr">
        <is>
          <t>N</t>
        </is>
      </c>
      <c r="K22" s="4" t="inlineStr">
        <is>
          <t>N</t>
        </is>
      </c>
      <c r="L22" s="11" t="n">
        <v>60</v>
      </c>
      <c r="M22" s="4" t="inlineStr">
        <is>
          <t>Investor of record (subscription form)</t>
        </is>
      </c>
      <c r="N22" s="4" t="inlineStr">
        <is>
          <t>n/a</t>
        </is>
      </c>
      <c r="O22" s="4" t="inlineStr">
        <is>
          <t>LPA key terms schedule - Kestrel Lammwick Co-Invest LP (extract)</t>
        </is>
      </c>
      <c r="P22" s="4" t="inlineStr">
        <is>
          <t>8.1, 8.3, 8.5, 12.2</t>
        </is>
      </c>
      <c r="Q22" s="4" t="inlineStr">
        <is>
          <t>2021-11-30</t>
        </is>
      </c>
      <c r="R22" s="4" t="inlineStr">
        <is>
          <t>v2</t>
        </is>
      </c>
      <c r="S22" s="4" t="inlineStr"/>
    </row>
    <row r="23">
      <c r="A23" s="4" t="inlineStr">
        <is>
          <t>0203_02361</t>
        </is>
      </c>
      <c r="B23" s="4" t="inlineStr">
        <is>
          <t>NUV16CIL Penmont Ltd.</t>
        </is>
      </c>
      <c r="C23" s="4" t="inlineStr">
        <is>
          <t>LP</t>
        </is>
      </c>
      <c r="D23" s="7" t="n">
        <v>3974000</v>
      </c>
      <c r="E23" s="8" t="n">
        <v>0.022078</v>
      </c>
      <c r="F23" s="9" t="n">
        <v>0.01</v>
      </c>
      <c r="G23" s="4" t="inlineStr">
        <is>
          <t>Commitment</t>
        </is>
      </c>
      <c r="H23" s="4" t="inlineStr">
        <is>
          <t>N</t>
        </is>
      </c>
      <c r="I23" s="10" t="n">
        <v>0.8</v>
      </c>
      <c r="J23" s="4" t="inlineStr">
        <is>
          <t>N</t>
        </is>
      </c>
      <c r="K23" s="4" t="inlineStr">
        <is>
          <t>N</t>
        </is>
      </c>
      <c r="L23" s="11" t="n">
        <v>60</v>
      </c>
      <c r="M23" s="4" t="inlineStr">
        <is>
          <t>Investor of record (subscription form)</t>
        </is>
      </c>
      <c r="N23" s="4" t="inlineStr">
        <is>
          <t>n/a</t>
        </is>
      </c>
      <c r="O23" s="4" t="inlineStr">
        <is>
          <t>LPA key terms schedule - Kestrel Lammwick Co-Invest LP (extract)</t>
        </is>
      </c>
      <c r="P23" s="4" t="inlineStr">
        <is>
          <t>8.1, 8.3, 8.5, 12.2</t>
        </is>
      </c>
      <c r="Q23" s="4" t="inlineStr">
        <is>
          <t>2021-11-30</t>
        </is>
      </c>
      <c r="R23" s="4" t="inlineStr">
        <is>
          <t>v2</t>
        </is>
      </c>
      <c r="S23" s="4" t="inlineStr"/>
    </row>
    <row r="24">
      <c r="A24" s="4" t="inlineStr">
        <is>
          <t>5160_94021</t>
        </is>
      </c>
      <c r="B24" s="4" t="inlineStr">
        <is>
          <t>Zellworth Capital, a VEJ of Zellworth Family Holdings, LLC, a Cantley limited liability company</t>
        </is>
      </c>
      <c r="C24" s="4" t="inlineStr">
        <is>
          <t>LP</t>
        </is>
      </c>
      <c r="D24" s="7" t="n">
        <v>2813000</v>
      </c>
      <c r="E24" s="8" t="n">
        <v>0.015628</v>
      </c>
      <c r="F24" s="9" t="n">
        <v>0.01</v>
      </c>
      <c r="G24" s="4" t="inlineStr">
        <is>
          <t>Commitment</t>
        </is>
      </c>
      <c r="H24" s="4" t="inlineStr">
        <is>
          <t>N</t>
        </is>
      </c>
      <c r="I24" s="10" t="n">
        <v>0.8</v>
      </c>
      <c r="J24" s="4" t="inlineStr">
        <is>
          <t>N</t>
        </is>
      </c>
      <c r="K24" s="4" t="inlineStr">
        <is>
          <t>N</t>
        </is>
      </c>
      <c r="L24" s="11" t="n">
        <v>60</v>
      </c>
      <c r="M24" s="4" t="inlineStr">
        <is>
          <t>Investor of record (subscription form)</t>
        </is>
      </c>
      <c r="N24" s="4" t="inlineStr">
        <is>
          <t>n/a</t>
        </is>
      </c>
      <c r="O24" s="4" t="inlineStr">
        <is>
          <t>LPA key terms schedule - Kestrel Lammwick Co-Invest LP (extract)</t>
        </is>
      </c>
      <c r="P24" s="4" t="inlineStr">
        <is>
          <t>8.1, 8.3, 8.5, 12.2</t>
        </is>
      </c>
      <c r="Q24" s="4" t="inlineStr">
        <is>
          <t>2021-11-30</t>
        </is>
      </c>
      <c r="R24" s="4" t="inlineStr">
        <is>
          <t>v2</t>
        </is>
      </c>
      <c r="S24" s="4" t="inlineStr"/>
    </row>
    <row r="25">
      <c r="A25" s="4" t="inlineStr">
        <is>
          <t>3009_03432</t>
        </is>
      </c>
      <c r="B25" s="4" t="inlineStr">
        <is>
          <t>Renberg Grenshaw Oakwold Yardgarth</t>
        </is>
      </c>
      <c r="C25" s="4" t="inlineStr">
        <is>
          <t>LP</t>
        </is>
      </c>
      <c r="D25" s="7" t="n">
        <v>2462000</v>
      </c>
      <c r="E25" s="8" t="n">
        <v>0.013678</v>
      </c>
      <c r="F25" s="9" t="n">
        <v>0.01</v>
      </c>
      <c r="G25" s="4" t="inlineStr">
        <is>
          <t>Commitment</t>
        </is>
      </c>
      <c r="H25" s="4" t="inlineStr">
        <is>
          <t>N</t>
        </is>
      </c>
      <c r="I25" s="10" t="n">
        <v>0.8</v>
      </c>
      <c r="J25" s="4" t="inlineStr">
        <is>
          <t>N</t>
        </is>
      </c>
      <c r="K25" s="4" t="inlineStr">
        <is>
          <t>N</t>
        </is>
      </c>
      <c r="L25" s="11" t="n">
        <v>60</v>
      </c>
      <c r="M25" s="4" t="inlineStr">
        <is>
          <t>Investor of record (subscription form)</t>
        </is>
      </c>
      <c r="N25" s="4" t="inlineStr">
        <is>
          <t>n/a</t>
        </is>
      </c>
      <c r="O25" s="4" t="inlineStr">
        <is>
          <t>LPA key terms schedule - Kestrel Lammwick Co-Invest LP (extract)</t>
        </is>
      </c>
      <c r="P25" s="4" t="inlineStr">
        <is>
          <t>8.1, 8.3, 8.5, 12.2</t>
        </is>
      </c>
      <c r="Q25" s="4" t="inlineStr">
        <is>
          <t>2021-11-30</t>
        </is>
      </c>
      <c r="R25" s="4" t="inlineStr">
        <is>
          <t>v2</t>
        </is>
      </c>
      <c r="S25" s="4" t="inlineStr"/>
    </row>
    <row r="26">
      <c r="A26" s="4" t="inlineStr">
        <is>
          <t>5210_59843</t>
        </is>
      </c>
      <c r="B26" s="4" t="inlineStr">
        <is>
          <t>Nethbury Norvale Private Equity Fund, FEL</t>
        </is>
      </c>
      <c r="C26" s="4" t="inlineStr">
        <is>
          <t>LP</t>
        </is>
      </c>
      <c r="D26" s="7" t="n">
        <v>2462000</v>
      </c>
      <c r="E26" s="8" t="n">
        <v>0.013678</v>
      </c>
      <c r="F26" s="9" t="n">
        <v>0.01</v>
      </c>
      <c r="G26" s="4" t="inlineStr">
        <is>
          <t>Commitment</t>
        </is>
      </c>
      <c r="H26" s="4" t="inlineStr">
        <is>
          <t>N</t>
        </is>
      </c>
      <c r="I26" s="10" t="n">
        <v>0.8</v>
      </c>
      <c r="J26" s="4" t="inlineStr">
        <is>
          <t>N</t>
        </is>
      </c>
      <c r="K26" s="4" t="inlineStr">
        <is>
          <t>N</t>
        </is>
      </c>
      <c r="L26" s="11" t="n">
        <v>60</v>
      </c>
      <c r="M26" s="4" t="inlineStr">
        <is>
          <t>Investor of record (subscription form)</t>
        </is>
      </c>
      <c r="N26" s="4" t="inlineStr">
        <is>
          <t>n/a</t>
        </is>
      </c>
      <c r="O26" s="4" t="inlineStr">
        <is>
          <t>LPA key terms schedule - Kestrel Lammwick Co-Invest LP (extract)</t>
        </is>
      </c>
      <c r="P26" s="4" t="inlineStr">
        <is>
          <t>8.1, 8.3, 8.5, 12.2</t>
        </is>
      </c>
      <c r="Q26" s="4" t="inlineStr">
        <is>
          <t>2021-11-30</t>
        </is>
      </c>
      <c r="R26" s="4" t="inlineStr">
        <is>
          <t>v2</t>
        </is>
      </c>
      <c r="S26" s="4" t="inlineStr"/>
    </row>
    <row r="27">
      <c r="A27" s="4" t="inlineStr">
        <is>
          <t>3165_39026</t>
        </is>
      </c>
      <c r="B27" s="4" t="inlineStr">
        <is>
          <t>VAX Norvale Holdings LP</t>
        </is>
      </c>
      <c r="C27" s="4" t="inlineStr">
        <is>
          <t>LP</t>
        </is>
      </c>
      <c r="D27" s="7" t="n">
        <v>1306000</v>
      </c>
      <c r="E27" s="8" t="n">
        <v>0.007256</v>
      </c>
      <c r="F27" s="9" t="n">
        <v>0.01</v>
      </c>
      <c r="G27" s="4" t="inlineStr">
        <is>
          <t>Commitment</t>
        </is>
      </c>
      <c r="H27" s="4" t="inlineStr">
        <is>
          <t>N</t>
        </is>
      </c>
      <c r="I27" s="10" t="n">
        <v>0.8</v>
      </c>
      <c r="J27" s="4" t="inlineStr">
        <is>
          <t>N</t>
        </is>
      </c>
      <c r="K27" s="4" t="inlineStr">
        <is>
          <t>N</t>
        </is>
      </c>
      <c r="L27" s="11" t="n">
        <v>60</v>
      </c>
      <c r="M27" s="4" t="inlineStr">
        <is>
          <t>Investor of record (subscription form)</t>
        </is>
      </c>
      <c r="N27" s="4" t="inlineStr">
        <is>
          <t>n/a</t>
        </is>
      </c>
      <c r="O27" s="4" t="inlineStr">
        <is>
          <t>LPA key terms schedule - Kestrel Lammwick Co-Invest LP (extract)</t>
        </is>
      </c>
      <c r="P27" s="4" t="inlineStr">
        <is>
          <t>8.1, 8.3, 8.5, 12.2</t>
        </is>
      </c>
      <c r="Q27" s="4" t="inlineStr">
        <is>
          <t>2021-11-30</t>
        </is>
      </c>
      <c r="R27" s="4" t="inlineStr">
        <is>
          <t>v2</t>
        </is>
      </c>
      <c r="S27" s="4" t="inlineStr"/>
    </row>
    <row r="28">
      <c r="A28" s="4" t="inlineStr">
        <is>
          <t>3043_04282</t>
        </is>
      </c>
      <c r="B28" s="4" t="inlineStr">
        <is>
          <t>Renberg Grenshaw Norstead Umbholm and NODE</t>
        </is>
      </c>
      <c r="C28" s="4" t="inlineStr">
        <is>
          <t>LP</t>
        </is>
      </c>
      <c r="D28" s="7" t="n">
        <v>1055000</v>
      </c>
      <c r="E28" s="8" t="n">
        <v>0.005861</v>
      </c>
      <c r="F28" s="9" t="n">
        <v>0.01</v>
      </c>
      <c r="G28" s="4" t="inlineStr">
        <is>
          <t>Commitment</t>
        </is>
      </c>
      <c r="H28" s="4" t="inlineStr">
        <is>
          <t>N</t>
        </is>
      </c>
      <c r="I28" s="10" t="n">
        <v>0.8</v>
      </c>
      <c r="J28" s="4" t="inlineStr">
        <is>
          <t>N</t>
        </is>
      </c>
      <c r="K28" s="4" t="inlineStr">
        <is>
          <t>N</t>
        </is>
      </c>
      <c r="L28" s="11" t="n">
        <v>60</v>
      </c>
      <c r="M28" s="4" t="inlineStr">
        <is>
          <t>Investor of record (subscription form)</t>
        </is>
      </c>
      <c r="N28" s="4" t="inlineStr">
        <is>
          <t>n/a</t>
        </is>
      </c>
      <c r="O28" s="4" t="inlineStr">
        <is>
          <t>LPA key terms schedule - Kestrel Lammwick Co-Invest LP (extract)</t>
        </is>
      </c>
      <c r="P28" s="4" t="inlineStr">
        <is>
          <t>8.1, 8.3, 8.5, 12.2</t>
        </is>
      </c>
      <c r="Q28" s="4" t="inlineStr">
        <is>
          <t>2021-11-30</t>
        </is>
      </c>
      <c r="R28" s="4" t="inlineStr">
        <is>
          <t>v2</t>
        </is>
      </c>
      <c r="S28" s="4" t="inlineStr"/>
    </row>
    <row r="29">
      <c r="A29" s="12" t="inlineStr">
        <is>
          <t>GP</t>
        </is>
      </c>
      <c r="B29" s="12" t="inlineStr">
        <is>
          <t>Kestrel Lammwick GP LLC</t>
        </is>
      </c>
      <c r="C29" s="12" t="inlineStr">
        <is>
          <t>GP</t>
        </is>
      </c>
      <c r="D29" s="13" t="n">
        <v>0</v>
      </c>
      <c r="E29" s="14" t="n">
        <v>0</v>
      </c>
      <c r="F29" s="15" t="n">
        <v>0</v>
      </c>
      <c r="G29" s="16" t="inlineStr">
        <is>
          <t>n/a</t>
        </is>
      </c>
      <c r="H29" s="12" t="inlineStr">
        <is>
          <t>n/a</t>
        </is>
      </c>
      <c r="I29" s="17" t="inlineStr"/>
      <c r="J29" s="16" t="inlineStr">
        <is>
          <t>Y</t>
        </is>
      </c>
      <c r="K29" s="12" t="inlineStr">
        <is>
          <t>N</t>
        </is>
      </c>
      <c r="L29" s="20" t="n">
        <v>60</v>
      </c>
      <c r="M29" s="12" t="inlineStr">
        <is>
          <t>Kestrel Capital Investor Relations</t>
        </is>
      </c>
      <c r="N29" s="12" t="inlineStr">
        <is>
          <t>ir@kestrelcap.example</t>
        </is>
      </c>
      <c r="O29" s="12" t="inlineStr">
        <is>
          <t>LPA key terms schedule - Kestrel Lammwick Co-Invest LP (extract)</t>
        </is>
      </c>
      <c r="P29" s="12" t="inlineStr">
        <is>
          <t>8.1(c), 12.2</t>
        </is>
      </c>
      <c r="Q29" s="12" t="inlineStr">
        <is>
          <t>2021-11-30</t>
        </is>
      </c>
      <c r="R29" s="12" t="inlineStr">
        <is>
          <t>v2</t>
        </is>
      </c>
      <c r="S29" s="19" t="inlineStr">
        <is>
          <t>rate, basis, offset, fee exempt</t>
        </is>
      </c>
    </row>
    <row r="30">
      <c r="B30" s="3" t="inlineStr">
        <is>
          <t>Total</t>
        </is>
      </c>
      <c r="D30" s="21">
        <f>SUM(D11:D29)</f>
        <v/>
      </c>
      <c r="E30" s="22">
        <f>SUM(E11:E29)</f>
        <v/>
      </c>
      <c r="S30" s="23">
        <f>COUNTA(S11:S29)&amp;" investor(s) on non-default terms"</f>
        <v/>
      </c>
    </row>
  </sheetData>
  <autoFilter ref="A10:S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857F"/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62" customWidth="1" min="3" max="3"/>
    <col width="10" customWidth="1" min="4" max="4"/>
    <col width="13" customWidth="1" min="5" max="5"/>
  </cols>
  <sheetData>
    <row r="1">
      <c r="A1" s="24" t="inlineStr">
        <is>
          <t>Fund-level terms (LPA defaults every investor inherits unless a side letter says otherwise)</t>
        </is>
      </c>
    </row>
    <row r="3">
      <c r="A3" s="25" t="inlineStr">
        <is>
          <t>Term</t>
        </is>
      </c>
      <c r="B3" s="25" t="inlineStr">
        <is>
          <t>Value</t>
        </is>
      </c>
      <c r="C3" s="25" t="inlineStr">
        <is>
          <t>Source document</t>
        </is>
      </c>
      <c r="D3" s="25" t="inlineStr">
        <is>
          <t>Clause</t>
        </is>
      </c>
      <c r="E3" s="25" t="inlineStr">
        <is>
          <t>In force from</t>
        </is>
      </c>
    </row>
    <row r="4">
      <c r="A4" s="4" t="inlineStr">
        <is>
          <t>entity</t>
        </is>
      </c>
      <c r="B4" s="4" t="inlineStr">
        <is>
          <t>Kestrel Lammwick Co-Invest LP</t>
        </is>
      </c>
      <c r="C4" s="4" t="inlineStr">
        <is>
          <t>LPA key terms schedule - Kestrel Lammwick Co-Invest LP (extract)</t>
        </is>
      </c>
      <c r="D4" s="4" t="inlineStr">
        <is>
          <t>1</t>
        </is>
      </c>
      <c r="E4" s="4" t="inlineStr">
        <is>
          <t>2021-11-30</t>
        </is>
      </c>
    </row>
    <row r="5">
      <c r="A5" s="4" t="inlineStr">
        <is>
          <t>entity id corvus</t>
        </is>
      </c>
      <c r="B5" s="4" t="inlineStr">
        <is>
          <t>2254</t>
        </is>
      </c>
      <c r="C5" s="4" t="inlineStr">
        <is>
          <t>LE Mapping</t>
        </is>
      </c>
      <c r="D5" s="4" t="inlineStr"/>
      <c r="E5" s="4" t="inlineStr">
        <is>
          <t>2021-11-30</t>
        </is>
      </c>
    </row>
    <row r="6">
      <c r="A6" s="4" t="inlineStr">
        <is>
          <t>currency</t>
        </is>
      </c>
      <c r="B6" s="4" t="inlineStr">
        <is>
          <t>USD</t>
        </is>
      </c>
      <c r="C6" s="4" t="inlineStr">
        <is>
          <t>LPA key terms schedule - Kestrel Lammwick Co-Invest LP (extract)</t>
        </is>
      </c>
      <c r="D6" s="4" t="inlineStr">
        <is>
          <t>1</t>
        </is>
      </c>
      <c r="E6" s="4" t="inlineStr">
        <is>
          <t>2021-11-30</t>
        </is>
      </c>
    </row>
    <row r="7">
      <c r="A7" s="4" t="inlineStr">
        <is>
          <t>total commitments</t>
        </is>
      </c>
      <c r="B7" s="7" t="n">
        <v>179999000</v>
      </c>
      <c r="C7" s="4" t="inlineStr">
        <is>
          <t>Derived: observed Q2 allocation shares x USD 180m</t>
        </is>
      </c>
      <c r="D7" s="4" t="inlineStr"/>
      <c r="E7" s="4" t="inlineStr">
        <is>
          <t>2021-11-30</t>
        </is>
      </c>
    </row>
    <row r="8">
      <c r="A8" s="4" t="inlineStr">
        <is>
          <t>final close</t>
        </is>
      </c>
      <c r="B8" s="4" t="inlineStr">
        <is>
          <t>2021-11-30</t>
        </is>
      </c>
      <c r="C8" s="4" t="inlineStr">
        <is>
          <t>LPA key terms schedule - Kestrel Lammwick Co-Invest LP (extract)</t>
        </is>
      </c>
      <c r="D8" s="4" t="inlineStr">
        <is>
          <t>3.2</t>
        </is>
      </c>
      <c r="E8" s="4" t="inlineStr">
        <is>
          <t>2021-11-30</t>
        </is>
      </c>
    </row>
    <row r="9">
      <c r="A9" s="4" t="inlineStr">
        <is>
          <t>investment period end</t>
        </is>
      </c>
      <c r="B9" s="4" t="inlineStr">
        <is>
          <t>2027-12-31</t>
        </is>
      </c>
      <c r="C9" s="4" t="inlineStr">
        <is>
          <t>LPA key terms schedule - Kestrel Lammwick Co-Invest LP (extract)</t>
        </is>
      </c>
      <c r="D9" s="4" t="inlineStr">
        <is>
          <t>3.4</t>
        </is>
      </c>
      <c r="E9" s="4" t="inlineStr">
        <is>
          <t>2021-11-30</t>
        </is>
      </c>
    </row>
    <row r="10">
      <c r="A10" s="4" t="inlineStr">
        <is>
          <t>mgmt fee rate pa default</t>
        </is>
      </c>
      <c r="B10" s="9" t="n">
        <v>0.01</v>
      </c>
      <c r="C10" s="4" t="inlineStr">
        <is>
          <t>LPA key terms schedule - Kestrel Lammwick Co-Invest LP (extract)</t>
        </is>
      </c>
      <c r="D10" s="4" t="inlineStr">
        <is>
          <t>8.1(a)</t>
        </is>
      </c>
      <c r="E10" s="4" t="inlineStr">
        <is>
          <t>2021-11-30</t>
        </is>
      </c>
    </row>
    <row r="11">
      <c r="A11" s="4" t="inlineStr">
        <is>
          <t>mgmt fee basis investment period</t>
        </is>
      </c>
      <c r="B11" s="4" t="inlineStr">
        <is>
          <t>Commitment</t>
        </is>
      </c>
      <c r="C11" s="4" t="inlineStr">
        <is>
          <t>LPA key terms schedule - Kestrel Lammwick Co-Invest LP (extract)</t>
        </is>
      </c>
      <c r="D11" s="4" t="inlineStr">
        <is>
          <t>8.1(a)</t>
        </is>
      </c>
      <c r="E11" s="4" t="inlineStr">
        <is>
          <t>2021-11-30</t>
        </is>
      </c>
    </row>
    <row r="12">
      <c r="A12" s="4" t="inlineStr">
        <is>
          <t>mgmt fee basis after investment period</t>
        </is>
      </c>
      <c r="B12" s="4" t="inlineStr">
        <is>
          <t>Invested Capital</t>
        </is>
      </c>
      <c r="C12" s="4" t="inlineStr">
        <is>
          <t>LPA key terms schedule - Kestrel Lammwick Co-Invest LP (extract)</t>
        </is>
      </c>
      <c r="D12" s="4" t="inlineStr">
        <is>
          <t>8.1(b)</t>
        </is>
      </c>
      <c r="E12" s="4" t="inlineStr">
        <is>
          <t>2021-11-30</t>
        </is>
      </c>
    </row>
    <row r="13">
      <c r="A13" s="4" t="inlineStr">
        <is>
          <t>mgmt fee payment</t>
        </is>
      </c>
      <c r="B13" s="4" t="inlineStr">
        <is>
          <t>Quarterly in arrears, within 10 business days of quarter end</t>
        </is>
      </c>
      <c r="C13" s="4" t="inlineStr">
        <is>
          <t>LPA key terms schedule - Kestrel Lammwick Co-Invest LP (extract)</t>
        </is>
      </c>
      <c r="D13" s="4" t="inlineStr">
        <is>
          <t>8.2</t>
        </is>
      </c>
      <c r="E13" s="4" t="inlineStr">
        <is>
          <t>2021-11-30</t>
        </is>
      </c>
    </row>
    <row r="14">
      <c r="A14" s="4" t="inlineStr">
        <is>
          <t>mgmt fee drawn inside commitment default</t>
        </is>
      </c>
      <c r="B14" s="4" t="inlineStr">
        <is>
          <t>N (called in addition to Commitment)</t>
        </is>
      </c>
      <c r="C14" s="4" t="inlineStr">
        <is>
          <t>LPA key terms schedule - Kestrel Lammwick Co-Invest LP (extract)</t>
        </is>
      </c>
      <c r="D14" s="4" t="inlineStr">
        <is>
          <t>8.3</t>
        </is>
      </c>
      <c r="E14" s="4" t="inlineStr">
        <is>
          <t>2021-11-30</t>
        </is>
      </c>
    </row>
    <row r="15">
      <c r="A15" s="4" t="inlineStr">
        <is>
          <t>fee offset pct default</t>
        </is>
      </c>
      <c r="B15" s="9" t="n">
        <v>0.8</v>
      </c>
      <c r="C15" s="4" t="inlineStr">
        <is>
          <t>LPA key terms schedule - Kestrel Lammwick Co-Invest LP (extract)</t>
        </is>
      </c>
      <c r="D15" s="4" t="inlineStr">
        <is>
          <t>8.5</t>
        </is>
      </c>
      <c r="E15" s="4" t="inlineStr">
        <is>
          <t>2021-11-30</t>
        </is>
      </c>
    </row>
    <row r="16">
      <c r="A16" s="4" t="inlineStr">
        <is>
          <t>preferred return</t>
        </is>
      </c>
      <c r="B16" s="9" t="n">
        <v>0.08</v>
      </c>
      <c r="C16" s="4" t="inlineStr">
        <is>
          <t>LPA key terms schedule - Kestrel Lammwick Co-Invest LP (extract)</t>
        </is>
      </c>
      <c r="D16" s="4" t="inlineStr">
        <is>
          <t>9.2</t>
        </is>
      </c>
      <c r="E16" s="4" t="inlineStr">
        <is>
          <t>2021-11-30</t>
        </is>
      </c>
    </row>
    <row r="17">
      <c r="A17" s="4" t="inlineStr">
        <is>
          <t>carried interest</t>
        </is>
      </c>
      <c r="B17" s="9" t="n">
        <v>0.1</v>
      </c>
      <c r="C17" s="4" t="inlineStr">
        <is>
          <t>LPA key terms schedule - Kestrel Lammwick Co-Invest LP (extract)</t>
        </is>
      </c>
      <c r="D17" s="4" t="inlineStr">
        <is>
          <t>9.3</t>
        </is>
      </c>
      <c r="E17" s="4" t="inlineStr">
        <is>
          <t>2021-11-30</t>
        </is>
      </c>
    </row>
    <row r="18">
      <c r="A18" s="4" t="inlineStr">
        <is>
          <t>cas deadline days default</t>
        </is>
      </c>
      <c r="B18" s="4" t="inlineStr">
        <is>
          <t>60</t>
        </is>
      </c>
      <c r="C18" s="4" t="inlineStr">
        <is>
          <t>LPA key terms schedule - Kestrel Lammwick Co-Invest LP (extract)</t>
        </is>
      </c>
      <c r="D18" s="4" t="inlineStr">
        <is>
          <t>12.2</t>
        </is>
      </c>
      <c r="E18" s="4" t="inlineStr">
        <is>
          <t>2021-11-30</t>
        </is>
      </c>
    </row>
    <row r="19">
      <c r="A19" s="4" t="inlineStr">
        <is>
          <t>invested capital 30jun2026</t>
        </is>
      </c>
      <c r="B19" s="7" t="n">
        <v>150000000</v>
      </c>
      <c r="C19" s="4" t="inlineStr">
        <is>
          <t>Synthetic entity net invested cost</t>
        </is>
      </c>
      <c r="D19" s="4" t="inlineStr"/>
      <c r="E19" s="4" t="inlineStr">
        <is>
          <t>2026-06-30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26A00"/>
    <outlinePr summaryBelow="1" summaryRight="1"/>
    <pageSetUpPr/>
  </sheetPr>
  <dimension ref="A1:J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2" customWidth="1" min="3" max="3"/>
    <col width="36" customWidth="1" min="4" max="4"/>
    <col width="36" customWidth="1" min="5" max="5"/>
    <col width="9" customWidth="1" min="6" max="6"/>
    <col width="12" customWidth="1" min="7" max="7"/>
    <col width="12" customWidth="1" min="8" max="8"/>
    <col width="58" customWidth="1" min="9" max="9"/>
    <col width="34" customWidth="1" min="10" max="10"/>
  </cols>
  <sheetData>
    <row r="1">
      <c r="A1" s="24" t="inlineStr">
        <is>
          <t>What changed between the 2026-06-30 and 2026-09-30 snapshots of the register</t>
        </is>
      </c>
    </row>
    <row r="2">
      <c r="A2" s="2" t="inlineStr">
        <is>
          <t>Computed cell by cell from the two graph responses. Clause, effective date and delivery source come from the recorded delta where one exists.</t>
        </is>
      </c>
    </row>
    <row r="4">
      <c r="A4" s="25" t="inlineStr">
        <is>
          <t>Investor id</t>
        </is>
      </c>
      <c r="B4" s="25" t="inlineStr">
        <is>
          <t>Investor</t>
        </is>
      </c>
      <c r="C4" s="25" t="inlineStr">
        <is>
          <t>Field</t>
        </is>
      </c>
      <c r="D4" s="25" t="inlineStr">
        <is>
          <t>Was</t>
        </is>
      </c>
      <c r="E4" s="25" t="inlineStr">
        <is>
          <t>Now</t>
        </is>
      </c>
      <c r="F4" s="25" t="inlineStr">
        <is>
          <t>Clause</t>
        </is>
      </c>
      <c r="G4" s="25" t="inlineStr">
        <is>
          <t>Effective</t>
        </is>
      </c>
      <c r="H4" s="25" t="inlineStr">
        <is>
          <t>Known since</t>
        </is>
      </c>
      <c r="I4" s="25" t="inlineStr">
        <is>
          <t>Source document</t>
        </is>
      </c>
      <c r="J4" s="25" t="inlineStr">
        <is>
          <t>Delivered by</t>
        </is>
      </c>
    </row>
    <row r="5">
      <c r="A5" s="4" t="inlineStr">
        <is>
          <t>7335_02891</t>
        </is>
      </c>
      <c r="B5" s="4" t="inlineStr">
        <is>
          <t>Trentcombe Fund Investors LLC</t>
        </is>
      </c>
      <c r="C5" s="4" t="inlineStr">
        <is>
          <t>Mgmt fee rate p.a.</t>
        </is>
      </c>
      <c r="D5" s="4" t="inlineStr">
        <is>
          <t>0.85%</t>
        </is>
      </c>
      <c r="E5" s="26" t="inlineStr">
        <is>
          <t>0.75%</t>
        </is>
      </c>
      <c r="F5" s="4" t="inlineStr">
        <is>
          <t>2(a)</t>
        </is>
      </c>
      <c r="G5" s="4" t="inlineStr">
        <is>
          <t>2026-07-01</t>
        </is>
      </c>
      <c r="H5" s="4" t="inlineStr">
        <is>
          <t>2026-07-06</t>
        </is>
      </c>
      <c r="I5" s="4" t="inlineStr">
        <is>
          <t>Side letter SL-TRENTCOMBE-2026-01 (amended and restated)</t>
        </is>
      </c>
      <c r="J5" s="4" t="inlineStr">
        <is>
          <t>email from investor operations contact</t>
        </is>
      </c>
    </row>
    <row r="6">
      <c r="A6" s="4" t="inlineStr">
        <is>
          <t>7335_02891</t>
        </is>
      </c>
      <c r="B6" s="4" t="inlineStr">
        <is>
          <t>Trentcombe Fund Investors LLC</t>
        </is>
      </c>
      <c r="C6" s="4" t="inlineStr">
        <is>
          <t>Fee basis</t>
        </is>
      </c>
      <c r="D6" s="4" t="inlineStr">
        <is>
          <t>Commitment</t>
        </is>
      </c>
      <c r="E6" s="26" t="inlineStr">
        <is>
          <t>Invested Capital</t>
        </is>
      </c>
      <c r="F6" s="4" t="inlineStr">
        <is>
          <t>2(b)</t>
        </is>
      </c>
      <c r="G6" s="4" t="inlineStr">
        <is>
          <t>2026-07-01</t>
        </is>
      </c>
      <c r="H6" s="4" t="inlineStr">
        <is>
          <t>2026-07-06</t>
        </is>
      </c>
      <c r="I6" s="4" t="inlineStr">
        <is>
          <t>Side letter SL-TRENTCOMBE-2026-01 (amended and restated)</t>
        </is>
      </c>
      <c r="J6" s="4" t="inlineStr">
        <is>
          <t>email from investor operations contact</t>
        </is>
      </c>
    </row>
    <row r="7">
      <c r="A7" s="4" t="inlineStr">
        <is>
          <t>7335_02891</t>
        </is>
      </c>
      <c r="B7" s="4" t="inlineStr">
        <is>
          <t>Trentcombe Fund Investors LLC</t>
        </is>
      </c>
      <c r="C7" s="4" t="inlineStr">
        <is>
          <t>Offset</t>
        </is>
      </c>
      <c r="D7" s="4" t="inlineStr">
        <is>
          <t>80.00%</t>
        </is>
      </c>
      <c r="E7" s="26" t="inlineStr">
        <is>
          <t>100.00%</t>
        </is>
      </c>
      <c r="F7" s="4" t="inlineStr">
        <is>
          <t>2(c)</t>
        </is>
      </c>
      <c r="G7" s="4" t="inlineStr">
        <is>
          <t>2026-07-01</t>
        </is>
      </c>
      <c r="H7" s="4" t="inlineStr">
        <is>
          <t>2026-07-06</t>
        </is>
      </c>
      <c r="I7" s="4" t="inlineStr">
        <is>
          <t>Side letter SL-TRENTCOMBE-2026-01 (amended and restated)</t>
        </is>
      </c>
      <c r="J7" s="4" t="inlineStr">
        <is>
          <t>email from investor operations contact</t>
        </is>
      </c>
    </row>
    <row r="8">
      <c r="A8" s="4" t="inlineStr">
        <is>
          <t>7335_02891</t>
        </is>
      </c>
      <c r="B8" s="4" t="inlineStr">
        <is>
          <t>Trentcombe Fund Investors LLC</t>
        </is>
      </c>
      <c r="C8" s="4" t="inlineStr">
        <is>
          <t>CAS deadline (days)</t>
        </is>
      </c>
      <c r="D8" s="4" t="inlineStr">
        <is>
          <t>60</t>
        </is>
      </c>
      <c r="E8" s="26" t="inlineStr">
        <is>
          <t>45</t>
        </is>
      </c>
      <c r="F8" s="4" t="inlineStr">
        <is>
          <t>5</t>
        </is>
      </c>
      <c r="G8" s="4" t="inlineStr">
        <is>
          <t>2026-07-01</t>
        </is>
      </c>
      <c r="H8" s="4" t="inlineStr">
        <is>
          <t>2026-07-06</t>
        </is>
      </c>
      <c r="I8" s="4" t="inlineStr">
        <is>
          <t>Side letter SL-TRENTCOMBE-2026-01 (amended and restated)</t>
        </is>
      </c>
      <c r="J8" s="4" t="inlineStr">
        <is>
          <t>email from investor operations contact</t>
        </is>
      </c>
    </row>
    <row r="9">
      <c r="A9" s="4" t="inlineStr">
        <is>
          <t>7335_02891</t>
        </is>
      </c>
      <c r="B9" s="4" t="inlineStr">
        <is>
          <t>Trentcombe Fund Investors LLC</t>
        </is>
      </c>
      <c r="C9" s="4" t="inlineStr">
        <is>
          <t>Notices contact</t>
        </is>
      </c>
      <c r="D9" s="4" t="inlineStr">
        <is>
          <t>Morgan Ashby, Fund Operations</t>
        </is>
      </c>
      <c r="E9" s="26" t="inlineStr">
        <is>
          <t>Kevin Gu, Head of Fund Operations</t>
        </is>
      </c>
      <c r="F9" s="4" t="inlineStr">
        <is>
          <t>6</t>
        </is>
      </c>
      <c r="G9" s="4" t="inlineStr">
        <is>
          <t>2026-07-01</t>
        </is>
      </c>
      <c r="H9" s="4" t="inlineStr">
        <is>
          <t>2026-07-06</t>
        </is>
      </c>
      <c r="I9" s="4" t="inlineStr">
        <is>
          <t>Side letter SL-TRENTCOMBE-2026-01 (amended and restated)</t>
        </is>
      </c>
      <c r="J9" s="4" t="inlineStr">
        <is>
          <t>email from investor operations contact</t>
        </is>
      </c>
    </row>
    <row r="10">
      <c r="A10" s="4" t="inlineStr">
        <is>
          <t>7335_02891</t>
        </is>
      </c>
      <c r="B10" s="4" t="inlineStr">
        <is>
          <t>Trentcombe Fund Investors LLC</t>
        </is>
      </c>
      <c r="C10" s="4" t="inlineStr">
        <is>
          <t>Notices email</t>
        </is>
      </c>
      <c r="D10" s="4" t="inlineStr">
        <is>
          <t>m.ashby@trentcombe-fi.example</t>
        </is>
      </c>
      <c r="E10" s="26" t="inlineStr">
        <is>
          <t>kevin.gu@gradient-path.com</t>
        </is>
      </c>
      <c r="F10" s="4" t="inlineStr">
        <is>
          <t>6</t>
        </is>
      </c>
      <c r="G10" s="4" t="inlineStr">
        <is>
          <t>2026-07-01</t>
        </is>
      </c>
      <c r="H10" s="4" t="inlineStr">
        <is>
          <t>2026-07-06</t>
        </is>
      </c>
      <c r="I10" s="4" t="inlineStr">
        <is>
          <t>Side letter SL-TRENTCOMBE-2026-01 (amended and restated)</t>
        </is>
      </c>
      <c r="J10" s="4" t="inlineStr">
        <is>
          <t>email from investor operations contact</t>
        </is>
      </c>
    </row>
    <row r="11">
      <c r="A11" s="4" t="inlineStr">
        <is>
          <t>7335_02891</t>
        </is>
      </c>
      <c r="B11" s="4" t="inlineStr">
        <is>
          <t>Trentcombe Fund Investors LLC</t>
        </is>
      </c>
      <c r="C11" s="4" t="inlineStr">
        <is>
          <t>Source document</t>
        </is>
      </c>
      <c r="D11" s="4" t="inlineStr">
        <is>
          <t>Side letter SL-TRENTCOMBE-2024-01 dated 2024-03-15</t>
        </is>
      </c>
      <c r="E11" s="26" t="inlineStr">
        <is>
          <t>Side letter SL-TRENTCOMBE-2026-01 (amended and restated) effective 2026-07-01</t>
        </is>
      </c>
      <c r="F11" s="4" t="inlineStr"/>
      <c r="G11" s="4" t="inlineStr">
        <is>
          <t>2026-07-01</t>
        </is>
      </c>
      <c r="H11" s="4" t="inlineStr">
        <is>
          <t>2026-07-06</t>
        </is>
      </c>
      <c r="I11" s="4" t="inlineStr">
        <is>
          <t>Side letter SL-TRENTCOMBE-2026-01 (amended and restated)</t>
        </is>
      </c>
      <c r="J11" s="4" t="inlineStr">
        <is>
          <t>email from investor operations contact</t>
        </is>
      </c>
    </row>
    <row r="12">
      <c r="A12" s="4" t="inlineStr">
        <is>
          <t>7335_02891</t>
        </is>
      </c>
      <c r="B12" s="4" t="inlineStr">
        <is>
          <t>Trentcombe Fund Investors LLC</t>
        </is>
      </c>
      <c r="C12" s="4" t="inlineStr">
        <is>
          <t>Clause</t>
        </is>
      </c>
      <c r="D12" s="4" t="inlineStr">
        <is>
          <t>2(a), 2(b), 4</t>
        </is>
      </c>
      <c r="E12" s="26" t="inlineStr">
        <is>
          <t>2(a), 2(b), 2(c), 5, 6</t>
        </is>
      </c>
      <c r="F12" s="4" t="inlineStr"/>
      <c r="G12" s="4" t="inlineStr">
        <is>
          <t>2026-07-01</t>
        </is>
      </c>
      <c r="H12" s="4" t="inlineStr">
        <is>
          <t>2026-07-06</t>
        </is>
      </c>
      <c r="I12" s="4" t="inlineStr">
        <is>
          <t>Side letter SL-TRENTCOMBE-2026-01 (amended and restated)</t>
        </is>
      </c>
      <c r="J12" s="4" t="inlineStr">
        <is>
          <t>email from investor operations contact</t>
        </is>
      </c>
    </row>
    <row r="13">
      <c r="A13" s="4" t="inlineStr">
        <is>
          <t>7335_02891</t>
        </is>
      </c>
      <c r="B13" s="4" t="inlineStr">
        <is>
          <t>Trentcombe Fund Investors LLC</t>
        </is>
      </c>
      <c r="C13" s="4" t="inlineStr">
        <is>
          <t>In force from</t>
        </is>
      </c>
      <c r="D13" s="4" t="inlineStr">
        <is>
          <t>2024-03-15</t>
        </is>
      </c>
      <c r="E13" s="26" t="inlineStr">
        <is>
          <t>2026-07-01</t>
        </is>
      </c>
      <c r="F13" s="4" t="inlineStr"/>
      <c r="G13" s="4" t="inlineStr">
        <is>
          <t>2026-07-01</t>
        </is>
      </c>
      <c r="H13" s="4" t="inlineStr">
        <is>
          <t>2026-07-06</t>
        </is>
      </c>
      <c r="I13" s="4" t="inlineStr">
        <is>
          <t>Side letter SL-TRENTCOMBE-2026-01 (amended and restated)</t>
        </is>
      </c>
      <c r="J13" s="4" t="inlineStr">
        <is>
          <t>email from investor operations contact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6BCB"/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70" customWidth="1" min="3" max="3"/>
  </cols>
  <sheetData>
    <row r="1">
      <c r="A1" s="3" t="inlineStr">
        <is>
          <t>Source fact ids the graph holds for each investor row (its provenance block, verbatim). Use them to open the source in the graph's provenance panel.</t>
        </is>
      </c>
    </row>
    <row r="3">
      <c r="A3" s="25" t="inlineStr">
        <is>
          <t>Investor id</t>
        </is>
      </c>
      <c r="B3" s="25" t="inlineStr">
        <is>
          <t>Investor</t>
        </is>
      </c>
      <c r="C3" s="25" t="inlineStr">
        <is>
          <t>Source ids</t>
        </is>
      </c>
    </row>
    <row r="4">
      <c r="A4" s="4" t="inlineStr">
        <is>
          <t>0203_02361</t>
        </is>
      </c>
      <c r="B4" s="4" t="inlineStr">
        <is>
          <t>NUV16CIL Penmont Ltd.</t>
        </is>
      </c>
      <c r="C4" s="4" t="inlineStr">
        <is>
          <t>6a57093a7ca370ed09600dbb1741a0fc1dbe83c1bc6c6120ffeb75e784962b37</t>
        </is>
      </c>
    </row>
    <row r="5">
      <c r="A5" s="4" t="inlineStr">
        <is>
          <t>0386_00038</t>
        </is>
      </c>
      <c r="B5" s="4" t="inlineStr">
        <is>
          <t>Thurford Wrenmere Steenvale Limited as covwold of Lindcombe Lanbeck NODE</t>
        </is>
      </c>
      <c r="C5" s="4" t="inlineStr">
        <is>
          <t>a2c12b2bd6d3253ca6fef3e5c446cec8fbe457406520e8cf3878583b26d472eb</t>
        </is>
      </c>
    </row>
    <row r="6">
      <c r="A6" s="4" t="inlineStr">
        <is>
          <t>2215_32092</t>
        </is>
      </c>
      <c r="B6" s="4" t="inlineStr">
        <is>
          <t>Clanfield Lanbeck Yardgarth of Ostdale</t>
        </is>
      </c>
      <c r="C6" s="4" t="inlineStr">
        <is>
          <t>1de2b9e26089bf3da4a8d8ace1dc9321ac2944318a4bd3b3ac03102b6c7626d2</t>
        </is>
      </c>
    </row>
    <row r="7">
      <c r="A7" s="4" t="inlineStr">
        <is>
          <t>3009_03432</t>
        </is>
      </c>
      <c r="B7" s="4" t="inlineStr">
        <is>
          <t>Renberg Grenshaw Oakwold Yardgarth</t>
        </is>
      </c>
      <c r="C7" s="4" t="inlineStr">
        <is>
          <t>e0a52ef84fb6fd4e1c8804a2da150338182f2c7b915099cc474b7a79bf358142</t>
        </is>
      </c>
    </row>
    <row r="8">
      <c r="A8" s="4" t="inlineStr">
        <is>
          <t>3043_04282</t>
        </is>
      </c>
      <c r="B8" s="4" t="inlineStr">
        <is>
          <t>Renberg Grenshaw Norstead Umbholm and NODE</t>
        </is>
      </c>
      <c r="C8" s="4" t="inlineStr">
        <is>
          <t>b85ad5ea09cb9efca540e32575679b94c93788a3667a18953fa9b9694640342e</t>
        </is>
      </c>
    </row>
    <row r="9">
      <c r="A9" s="4" t="inlineStr">
        <is>
          <t>3165_39026</t>
        </is>
      </c>
      <c r="B9" s="4" t="inlineStr">
        <is>
          <t>VAX Norvale Holdings LP</t>
        </is>
      </c>
      <c r="C9" s="4" t="inlineStr">
        <is>
          <t>da56feb0c2d9d869f1aaf6b8fe425a2379e051dec4ba25ca3b308e6052f5f7dc</t>
        </is>
      </c>
    </row>
    <row r="10">
      <c r="A10" s="4" t="inlineStr">
        <is>
          <t>3858_92723</t>
        </is>
      </c>
      <c r="B10" s="4" t="inlineStr">
        <is>
          <t>CIK Investment Wickdale Private Holdings (4) Inc.</t>
        </is>
      </c>
      <c r="C10" s="4" t="inlineStr">
        <is>
          <t>b7d0ff290f1ae9ab5d74d4653cdab7c149f871af3540a2a425bec5b5ab15d534</t>
        </is>
      </c>
    </row>
    <row r="11">
      <c r="A11" s="4" t="inlineStr">
        <is>
          <t>4051_19550</t>
        </is>
      </c>
      <c r="B11" s="4" t="inlineStr">
        <is>
          <t>Cantley Thurford Trentfield Lanbeck Yardgarth</t>
        </is>
      </c>
      <c r="C11" s="4" t="inlineStr">
        <is>
          <t>b8e969448186b849cd67b05b952d83a001e5a128697d141a9c6216d81695a7a6</t>
        </is>
      </c>
    </row>
    <row r="12">
      <c r="A12" s="4" t="inlineStr">
        <is>
          <t>4108_63195</t>
        </is>
      </c>
      <c r="B12" s="4" t="inlineStr">
        <is>
          <t>Thurford of Davgarth Investment Wickdale</t>
        </is>
      </c>
      <c r="C12" s="4" t="inlineStr">
        <is>
          <t>08ca7b2837af6a550a8943e50b689626e2787f9671bb2818561ab9bd97ff13ba</t>
        </is>
      </c>
    </row>
    <row r="13">
      <c r="A13" s="4" t="inlineStr">
        <is>
          <t>4130_22337</t>
        </is>
      </c>
      <c r="B13" s="4" t="inlineStr">
        <is>
          <t>Selstead TUW-Zellley</t>
        </is>
      </c>
      <c r="C13" s="4" t="inlineStr">
        <is>
          <t>4432f78c5b94913b5308fa0b36f1327705140ffaf0e5d28963894f8ab9e69832</t>
        </is>
      </c>
    </row>
    <row r="14">
      <c r="A14" s="4" t="inlineStr">
        <is>
          <t>4324_22834</t>
        </is>
      </c>
      <c r="B14" s="4" t="inlineStr">
        <is>
          <t>Oakbeck Investments Private Equity Fund, L.P.</t>
        </is>
      </c>
      <c r="C14" s="4" t="inlineStr">
        <is>
          <t>8e53874965b33e672353fd834046b1429aafbfac36b3a3768105025754097d3b</t>
        </is>
      </c>
    </row>
    <row r="15">
      <c r="A15" s="4" t="inlineStr">
        <is>
          <t>5160_94021</t>
        </is>
      </c>
      <c r="B15" s="4" t="inlineStr">
        <is>
          <t>Zellworth Capital, a VEJ of Zellworth Family Holdings, LLC, a Cantley limited liability company</t>
        </is>
      </c>
      <c r="C15" s="4" t="inlineStr">
        <is>
          <t>b84d04b47a4934207abeda776586287fcc5ff60dc882551df9bc4969a38a8af9</t>
        </is>
      </c>
    </row>
    <row r="16">
      <c r="A16" s="4" t="inlineStr">
        <is>
          <t>5210_59843</t>
        </is>
      </c>
      <c r="B16" s="4" t="inlineStr">
        <is>
          <t>Nethbury Norvale Private Equity Fund, FEL</t>
        </is>
      </c>
      <c r="C16" s="4" t="inlineStr">
        <is>
          <t>84b4fd04f7542f0f16fcdad934eea2e03187d3347b05651cf8c49fabe8067327</t>
        </is>
      </c>
    </row>
    <row r="17">
      <c r="A17" s="4" t="inlineStr">
        <is>
          <t>5719_43500</t>
        </is>
      </c>
      <c r="B17" s="4" t="inlineStr">
        <is>
          <t>Eddwick Co-Investment Holdings V, L.P.</t>
        </is>
      </c>
      <c r="C17" s="4" t="inlineStr">
        <is>
          <t>9ea99f385242eff1bc02212236d38d516d382ad51e0440f3abbcbba57322e7d2</t>
        </is>
      </c>
    </row>
    <row r="18">
      <c r="A18" s="4" t="inlineStr">
        <is>
          <t>6247_11149</t>
        </is>
      </c>
      <c r="B18" s="4" t="inlineStr">
        <is>
          <t>NUV16SUN Penmont Ltd.</t>
        </is>
      </c>
      <c r="C18" s="4" t="inlineStr">
        <is>
          <t>003c743cd067baf08cdbcce7ade2b73fc5ab512ed4f130e7163c27d539dfca60</t>
        </is>
      </c>
    </row>
    <row r="19">
      <c r="A19" s="4" t="inlineStr">
        <is>
          <t>6250_22863</t>
        </is>
      </c>
      <c r="B19" s="4" t="inlineStr">
        <is>
          <t>Innfield Brinbeck Global Private Equity LP</t>
        </is>
      </c>
      <c r="C19" s="4" t="inlineStr">
        <is>
          <t>3cfb2c01e599e111bc80d0d79e42223f2ec37ce7ee4ec898c38f1d559db01a04</t>
        </is>
      </c>
    </row>
    <row r="20">
      <c r="A20" s="4" t="inlineStr">
        <is>
          <t>6385_54462</t>
        </is>
      </c>
      <c r="B20" s="4" t="inlineStr">
        <is>
          <t>Vanford Investment Pte Ltd</t>
        </is>
      </c>
      <c r="C20" s="4" t="inlineStr">
        <is>
          <t>c3b7658e722167a187dea1d6d3da65cb93bca713cd2805ab84c31a130ea4c399</t>
        </is>
      </c>
    </row>
    <row r="21">
      <c r="A21" s="4" t="inlineStr">
        <is>
          <t>7335_02891</t>
        </is>
      </c>
      <c r="B21" s="4" t="inlineStr">
        <is>
          <t>Trentcombe Fund Investors LLC</t>
        </is>
      </c>
      <c r="C21" s="4" t="inlineStr">
        <is>
          <t>e12b023c5aed4abf9ff9a6d1f79ac70ae35caf94a3d46dfe57aea8d08834039e</t>
        </is>
      </c>
    </row>
    <row r="22">
      <c r="A22" s="4" t="inlineStr">
        <is>
          <t>GP</t>
        </is>
      </c>
      <c r="B22" s="4" t="inlineStr">
        <is>
          <t>Kestrel Lammwick GP LLC</t>
        </is>
      </c>
      <c r="C22" s="4" t="inlineStr">
        <is>
          <t>270beda1c2413c18c72abb57f6e998a88af32eecfd1525c1015c48d71c2df827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2026-09-06T09:48:16Z</dcterms:created>
  <dcterms:modified xsi:type="dcterms:W3CDTF">2026-09-06T09:48:16Z</dcterms:modified>
</cp:coreProperties>
</file>