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C gate" sheetId="1" state="visible" r:id="rId1"/>
    <sheet name="Cover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</font>
    <font>
      <b val="1"/>
      <color rgb="001E8E3E"/>
    </font>
    <font>
      <b val="1"/>
      <color rgb="00C62828"/>
    </font>
    <font>
      <b val="1"/>
      <color rgb="001C1A1A"/>
      <sz val="16"/>
    </font>
    <font>
      <color rgb="006B6B6B"/>
      <sz val="11"/>
    </font>
    <font>
      <b val="1"/>
      <color rgb="001C1A1A"/>
      <sz val="11"/>
    </font>
    <font>
      <color rgb="001C1A1A"/>
      <sz val="11"/>
    </font>
    <font>
      <b val="1"/>
      <color rgb="001C1A1A"/>
      <sz val="13"/>
    </font>
    <font>
      <color rgb="00C62828"/>
      <sz val="11"/>
    </font>
    <font>
      <color rgb="001E8E3E"/>
      <sz val="11"/>
    </font>
    <font>
      <b val="1"/>
      <color rgb="006B6B6B"/>
      <sz val="11"/>
    </font>
    <font>
      <b val="1"/>
      <color rgb="00C62828"/>
      <sz val="14"/>
    </font>
    <font>
      <b val="1"/>
      <color rgb="00B26A00"/>
      <sz val="14"/>
    </font>
    <font>
      <b val="1"/>
      <color rgb="006B6B6B"/>
      <sz val="14"/>
    </font>
    <font>
      <b val="1"/>
      <color rgb="000B6BCB"/>
      <sz val="14"/>
    </font>
    <font>
      <b val="1"/>
      <color rgb="001E8E3E"/>
      <sz val="14"/>
    </font>
    <font>
      <b val="1"/>
      <color rgb="001C1A1A"/>
      <sz val="14"/>
    </font>
  </fonts>
  <fills count="3">
    <fill>
      <patternFill/>
    </fill>
    <fill>
      <patternFill patternType="gray125"/>
    </fill>
    <fill>
      <patternFill patternType="solid">
        <fgColor rgb="00FF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4" fontId="17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4" fontId="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QC gate</author>
  </authors>
  <commentList>
    <comment ref="M7" authorId="0" shapeId="0">
      <text>
        <t>TC03 (tier a): Fee drawn inside or outside commitment as the terms say, and the unfunded roll-forward follows
evidence: fee_inside_commitment_applied=N, fee_inside_commitment=Y, unfunded_end=4870600, unfunded_expected=4848450.45, unfunded_overstated_by=22149.55, source_clause=2(a), 2(b), 4</t>
      </text>
    </comment>
    <comment ref="R7" authorId="0" shapeId="0">
      <text>
        <t>TC03 (tier a): Fee drawn inside or outside commitment as the terms say, and the unfunded roll-forward follows
evidence: fee_inside_commitment_applied=N, fee_inside_commitment=Y, unfunded_end=4870600, unfunded_expected=4848450.45, unfunded_overstated_by=22149.55, source_clause=2(a), 2(b), 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E8E3E"/>
    <outlinePr summaryBelow="1" summaryRight="1"/>
    <pageSetUpPr/>
  </sheetPr>
  <dimension ref="A1:H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2" customWidth="1" min="3" max="3"/>
    <col width="34" customWidth="1" min="4" max="4"/>
    <col width="14" customWidth="1" min="5" max="5"/>
    <col width="60" customWidth="1" min="6" max="6"/>
    <col width="60" customWidth="1" min="7" max="7"/>
    <col width="70" customWidth="1" min="8" max="8"/>
  </cols>
  <sheetData>
    <row r="1">
      <c r="A1" s="1" t="inlineStr">
        <is>
          <t>QC gate result</t>
        </is>
      </c>
    </row>
    <row r="2">
      <c r="A2" s="2" t="inlineStr">
        <is>
          <t>Generated from the gate's run record; the draft itself is untouched. Passes are shown, never hidden. A decision owed is not an error.</t>
        </is>
      </c>
    </row>
    <row r="4">
      <c r="A4" s="3" t="inlineStr">
        <is>
          <t>Draft</t>
        </is>
      </c>
      <c r="B4" s="4" t="inlineStr">
        <is>
          <t>q2_2026_fee_and_commitment_schedule_ADMIN_DRAFT.xlsx  ·  sha256 3f12d4a4…</t>
        </is>
      </c>
    </row>
    <row r="5">
      <c r="A5" s="3" t="inlineStr">
        <is>
          <t>Entity</t>
        </is>
      </c>
      <c r="B5" s="4" t="inlineStr">
        <is>
          <t>Kestrel Lammwick Co-Invest LP  ·  Corvus 2254</t>
        </is>
      </c>
    </row>
    <row r="6">
      <c r="A6" s="3" t="inlineStr">
        <is>
          <t>As-of</t>
        </is>
      </c>
      <c r="B6" s="4" t="inlineStr">
        <is>
          <t>2026-06-30</t>
        </is>
      </c>
    </row>
    <row r="7">
      <c r="A7" s="3" t="inlineStr">
        <is>
          <t>Terms snapshot</t>
        </is>
      </c>
      <c r="B7" s="4" t="inlineStr">
        <is>
          <t>terms_table_v1.csv  ·  sha256 dc535756…  ·  19 rows in force</t>
        </is>
      </c>
    </row>
    <row r="8">
      <c r="A8" s="3" t="inlineStr">
        <is>
          <t>Run</t>
        </is>
      </c>
      <c r="B8" s="4" t="inlineStr">
        <is>
          <t>20260905-222113-d8cfaa  ·  2026-09-05T22:21:13+01:00  ·  mode terms</t>
        </is>
      </c>
    </row>
    <row r="9">
      <c r="A9" s="3" t="inlineStr">
        <is>
          <t>Page</t>
        </is>
      </c>
      <c r="B9" s="4" t="inlineStr">
        <is>
          <t>/gate/q2_fee_schedule.html</t>
        </is>
      </c>
    </row>
    <row r="11">
      <c r="A11" s="5" t="inlineStr">
        <is>
          <t>Scoreboard</t>
        </is>
      </c>
    </row>
    <row r="12">
      <c r="A12" s="6" t="inlineStr">
        <is>
          <t>Tier a</t>
        </is>
      </c>
      <c r="B12" s="6" t="inlineStr">
        <is>
          <t>Tier b</t>
        </is>
      </c>
      <c r="C12" s="6" t="inlineStr">
        <is>
          <t>Tier c</t>
        </is>
      </c>
      <c r="D12" s="6" t="inlineStr">
        <is>
          <t>Decisions owed</t>
        </is>
      </c>
      <c r="E12" s="6" t="inlineStr">
        <is>
          <t>Passes</t>
        </is>
      </c>
      <c r="F12" s="6" t="inlineStr">
        <is>
          <t>Amount at stake (tier a)</t>
        </is>
      </c>
    </row>
    <row r="13">
      <c r="A13" s="7">
        <f>COUNTIFS($B$21:$B$21,"a",$C$21:$C$21,"FAIL")</f>
        <v/>
      </c>
      <c r="B13" s="8">
        <f>COUNTIFS($B$21:$B$21,"b",$C$21:$C$21,"FAIL")</f>
        <v/>
      </c>
      <c r="C13" s="9">
        <f>COUNTIFS($B$21:$B$21,"c",$C$21:$C$21,"FAIL")</f>
        <v/>
      </c>
      <c r="D13" s="10">
        <f>COUNTIF($C$21:$C$21,"DECISION")</f>
        <v/>
      </c>
      <c r="E13" s="11">
        <f>COUNTIF($A$25:$A$35,"✓*")&amp;" of 11"</f>
        <v/>
      </c>
      <c r="F13" s="12">
        <f>SUMIFS($E$21:$E$21,$B$21:$B$21,"a",$C$21:$C$21,"FAIL")</f>
        <v/>
      </c>
    </row>
    <row r="14">
      <c r="A14" s="2" t="inlineStr">
        <is>
          <t>Every number above is a formula over the findings table below; change nothing by hand.</t>
        </is>
      </c>
    </row>
    <row r="19">
      <c r="A19" s="5" t="inlineStr">
        <is>
          <t>Findings</t>
        </is>
      </c>
    </row>
    <row r="20">
      <c r="A20" s="13" t="inlineStr">
        <is>
          <t>Check</t>
        </is>
      </c>
      <c r="B20" s="13" t="inlineStr">
        <is>
          <t>Tier</t>
        </is>
      </c>
      <c r="C20" s="13" t="inlineStr">
        <is>
          <t>Status</t>
        </is>
      </c>
      <c r="D20" s="13" t="inlineStr">
        <is>
          <t>Investor</t>
        </is>
      </c>
      <c r="E20" s="13" t="inlineStr">
        <is>
          <t>Amount</t>
        </is>
      </c>
      <c r="F20" s="13" t="inlineStr">
        <is>
          <t>Evidence</t>
        </is>
      </c>
      <c r="G20" s="13" t="inlineStr">
        <is>
          <t>Because</t>
        </is>
      </c>
      <c r="H20" s="13" t="inlineStr">
        <is>
          <t>Source</t>
        </is>
      </c>
    </row>
    <row r="21">
      <c r="A21" s="14" t="inlineStr">
        <is>
          <t>TC03</t>
        </is>
      </c>
      <c r="B21" s="14" t="inlineStr">
        <is>
          <t>a</t>
        </is>
      </c>
      <c r="C21" s="14" t="inlineStr">
        <is>
          <t>FAIL</t>
        </is>
      </c>
      <c r="D21" s="15" t="inlineStr">
        <is>
          <t>Trentcombe Fund Investors LLC</t>
        </is>
      </c>
      <c r="E21" s="16" t="n">
        <v>22149.55</v>
      </c>
      <c r="F21" s="15" t="inlineStr">
        <is>
          <t>fee_inside_commitment_applied=N, fee_inside_commitment=Y, unfunded_end=4870600, unfunded_expected=4848450.45, unfunded_overstated_by=22149.55, source_clause=2(a), 2(b), 4</t>
        </is>
      </c>
      <c r="G21" s="15" t="inlineStr"/>
      <c r="H21" s="15" t="inlineStr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</row>
    <row r="23">
      <c r="A23" s="18" t="inlineStr">
        <is>
          <t>Passes</t>
        </is>
      </c>
      <c r="B23" s="17" t="n"/>
      <c r="C23" s="17" t="n"/>
      <c r="D23" s="17" t="n"/>
      <c r="E23" s="17" t="n"/>
      <c r="F23" s="17" t="n"/>
      <c r="G23" s="17" t="n"/>
      <c r="H23" s="17" t="n"/>
    </row>
    <row r="24">
      <c r="A24" s="13" t="inlineStr">
        <is>
          <t>Check</t>
        </is>
      </c>
      <c r="B24" s="13" t="inlineStr">
        <is>
          <t>Tier</t>
        </is>
      </c>
      <c r="C24" s="13" t="inlineStr">
        <is>
          <t>Name</t>
        </is>
      </c>
      <c r="D24" s="17" t="n"/>
      <c r="E24" s="17" t="n"/>
      <c r="F24" s="17" t="n"/>
      <c r="G24" s="17" t="n"/>
      <c r="H24" s="17" t="n"/>
    </row>
    <row r="25">
      <c r="A25" s="19" t="inlineStr">
        <is>
          <t>✓ TC00</t>
        </is>
      </c>
      <c r="B25" s="15" t="inlineStr">
        <is>
          <t>a</t>
        </is>
      </c>
      <c r="C25" s="15" t="inlineStr">
        <is>
          <t>Every schedule investor has a register row in force on the as-of date</t>
        </is>
      </c>
      <c r="D25" s="17" t="n"/>
      <c r="E25" s="17" t="n"/>
      <c r="F25" s="17" t="n"/>
      <c r="G25" s="17" t="n"/>
      <c r="H25" s="17" t="n"/>
    </row>
    <row r="26">
      <c r="A26" s="19" t="inlineStr">
        <is>
          <t>✓ TC01</t>
        </is>
      </c>
      <c r="B26" s="15" t="inlineStr">
        <is>
          <t>b</t>
        </is>
      </c>
      <c r="C26" s="15" t="inlineStr">
        <is>
          <t>Rate applied equals the rate in the terms register</t>
        </is>
      </c>
      <c r="D26" s="17" t="n"/>
      <c r="E26" s="17" t="n"/>
      <c r="F26" s="17" t="n"/>
      <c r="G26" s="17" t="n"/>
      <c r="H26" s="17" t="n"/>
    </row>
    <row r="27">
      <c r="A27" s="19" t="inlineStr">
        <is>
          <t>✓ TC02</t>
        </is>
      </c>
      <c r="B27" s="15" t="inlineStr">
        <is>
          <t>b</t>
        </is>
      </c>
      <c r="C27" s="15" t="inlineStr">
        <is>
          <t>Fee basis applied equals the basis in the terms register</t>
        </is>
      </c>
      <c r="D27" s="17" t="n"/>
      <c r="E27" s="17" t="n"/>
      <c r="F27" s="17" t="n"/>
      <c r="G27" s="17" t="n"/>
      <c r="H27" s="17" t="n"/>
    </row>
    <row r="28">
      <c r="A28" s="19" t="inlineStr">
        <is>
          <t>✓ TC04</t>
        </is>
      </c>
      <c r="B28" s="15" t="inlineStr">
        <is>
          <t>a</t>
        </is>
      </c>
      <c r="C28" s="15" t="inlineStr">
        <is>
          <t>Fee-exempt investors are charged nothing</t>
        </is>
      </c>
      <c r="D28" s="17" t="n"/>
      <c r="E28" s="17" t="n"/>
      <c r="F28" s="17" t="n"/>
      <c r="G28" s="17" t="n"/>
      <c r="H28" s="17" t="n"/>
    </row>
    <row r="29">
      <c r="A29" s="19" t="inlineStr">
        <is>
          <t>✓ TC05</t>
        </is>
      </c>
      <c r="B29" s="15" t="inlineStr">
        <is>
          <t>b</t>
        </is>
      </c>
      <c r="C29" s="15" t="inlineStr">
        <is>
          <t>Offset percentage applied equals the terms register</t>
        </is>
      </c>
      <c r="D29" s="17" t="n"/>
      <c r="E29" s="17" t="n"/>
      <c r="F29" s="17" t="n"/>
      <c r="G29" s="17" t="n"/>
      <c r="H29" s="17" t="n"/>
    </row>
    <row r="30">
      <c r="A30" s="19" t="inlineStr">
        <is>
          <t>✓ TC06</t>
        </is>
      </c>
      <c r="B30" s="15" t="inlineStr">
        <is>
          <t>a</t>
        </is>
      </c>
      <c r="C30" s="15" t="inlineStr">
        <is>
          <t>Schedule allocation share equals commitment share in the register</t>
        </is>
      </c>
      <c r="D30" s="17" t="n"/>
      <c r="E30" s="17" t="n"/>
      <c r="F30" s="17" t="n"/>
      <c r="G30" s="17" t="n"/>
      <c r="H30" s="17" t="n"/>
    </row>
    <row r="31">
      <c r="A31" s="19" t="inlineStr">
        <is>
          <t>✓ TC07</t>
        </is>
      </c>
      <c r="B31" s="15" t="inlineStr">
        <is>
          <t>b</t>
        </is>
      </c>
      <c r="C31" s="15" t="inlineStr">
        <is>
          <t>Gross fee = basis amount x rate / 4</t>
        </is>
      </c>
      <c r="D31" s="17" t="n"/>
      <c r="E31" s="17" t="n"/>
      <c r="F31" s="17" t="n"/>
      <c r="G31" s="17" t="n"/>
      <c r="H31" s="17" t="n"/>
    </row>
    <row r="32">
      <c r="A32" s="19" t="inlineStr">
        <is>
          <t>✓ TC08</t>
        </is>
      </c>
      <c r="B32" s="15" t="inlineStr">
        <is>
          <t>b</t>
        </is>
      </c>
      <c r="C32" s="15" t="inlineStr">
        <is>
          <t>Totals row foots to the column sums</t>
        </is>
      </c>
      <c r="D32" s="17" t="n"/>
      <c r="E32" s="17" t="n"/>
      <c r="F32" s="17" t="n"/>
      <c r="G32" s="17" t="n"/>
      <c r="H32" s="17" t="n"/>
    </row>
    <row r="33">
      <c r="A33" s="19" t="inlineStr">
        <is>
          <t>✓ TC09</t>
        </is>
      </c>
      <c r="B33" s="15" t="inlineStr">
        <is>
          <t>a</t>
        </is>
      </c>
      <c r="C33" s="15" t="inlineStr">
        <is>
          <t>Net fee equals the fee recomputed from the register (headline overcharge in currency)</t>
        </is>
      </c>
      <c r="D33" s="17" t="n"/>
      <c r="E33" s="17" t="n"/>
      <c r="F33" s="17" t="n"/>
      <c r="G33" s="17" t="n"/>
      <c r="H33" s="17" t="n"/>
    </row>
    <row r="34">
      <c r="A34" s="19" t="inlineStr">
        <is>
          <t>✓ TC10</t>
        </is>
      </c>
      <c r="B34" s="15" t="inlineStr">
        <is>
          <t>a</t>
        </is>
      </c>
      <c r="C34" s="15" t="inlineStr">
        <is>
          <t>Roll-forward foots inside the schedule (called_end = start + calls + fee inside; unfunded = commitment - called)</t>
        </is>
      </c>
      <c r="D34" s="17" t="n"/>
      <c r="E34" s="17" t="n"/>
      <c r="F34" s="17" t="n"/>
      <c r="G34" s="17" t="n"/>
      <c r="H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Kestrel Lammwick Co-Invest LP</t>
        </is>
      </c>
    </row>
    <row r="3">
      <c r="A3" t="inlineStr">
        <is>
          <t>Period end</t>
        </is>
      </c>
      <c r="B3" t="inlineStr">
        <is>
          <t>30 June 2026</t>
        </is>
      </c>
    </row>
    <row r="4">
      <c r="A4" t="inlineStr">
        <is>
          <t>Prepared by</t>
        </is>
      </c>
      <c r="B4" t="inlineStr">
        <is>
          <t>Fund administration team (draft 1)</t>
        </is>
      </c>
    </row>
    <row r="5">
      <c r="A5" t="inlineStr">
        <is>
          <t>Basis</t>
        </is>
      </c>
      <c r="B5" t="inlineStr">
        <is>
          <t>Management fee per LPA clause 8 and side letters; quarterly in arrears</t>
        </is>
      </c>
    </row>
    <row r="6">
      <c r="A6" t="inlineStr">
        <is>
          <t>Note</t>
        </is>
      </c>
      <c r="B6" t="inlineStr">
        <is>
          <t>Draft for GP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cols>
    <col width="16" customWidth="1" min="19" max="19"/>
    <col width="60" customWidth="1" min="20" max="20"/>
  </cols>
  <sheetData>
    <row r="1">
      <c r="A1" t="inlineStr">
        <is>
          <t>investor_id</t>
        </is>
      </c>
      <c r="B1" t="inlineStr">
        <is>
          <t>investor_name</t>
        </is>
      </c>
      <c r="C1" t="inlineStr">
        <is>
          <t>commitment</t>
        </is>
      </c>
      <c r="D1" t="inlineStr">
        <is>
          <t>commitment_share</t>
        </is>
      </c>
      <c r="E1" t="inlineStr">
        <is>
          <t>fee_basis_applied</t>
        </is>
      </c>
      <c r="F1" t="inlineStr">
        <is>
          <t>basis_amount</t>
        </is>
      </c>
      <c r="G1" t="inlineStr">
        <is>
          <t>rate_applied</t>
        </is>
      </c>
      <c r="H1" t="inlineStr">
        <is>
          <t>gross_fee</t>
        </is>
      </c>
      <c r="I1" t="inlineStr">
        <is>
          <t>offsettable_fees_share</t>
        </is>
      </c>
      <c r="J1" t="inlineStr">
        <is>
          <t>offset_pct_applied</t>
        </is>
      </c>
      <c r="K1" t="inlineStr">
        <is>
          <t>offset_amount</t>
        </is>
      </c>
      <c r="L1" t="inlineStr">
        <is>
          <t>net_fee</t>
        </is>
      </c>
      <c r="M1" t="inlineStr">
        <is>
          <t>fee_inside_commitment_applied</t>
        </is>
      </c>
      <c r="N1" t="inlineStr">
        <is>
          <t>called_start</t>
        </is>
      </c>
      <c r="O1" t="inlineStr">
        <is>
          <t>capital_calls_q</t>
        </is>
      </c>
      <c r="P1" t="inlineStr">
        <is>
          <t>fee_called_inside</t>
        </is>
      </c>
      <c r="Q1" t="inlineStr">
        <is>
          <t>called_end</t>
        </is>
      </c>
      <c r="R1" t="inlineStr">
        <is>
          <t>unfunded_end</t>
        </is>
      </c>
      <c r="S1" s="20" t="inlineStr">
        <is>
          <t>QC result</t>
        </is>
      </c>
      <c r="T1" s="20" t="inlineStr">
        <is>
          <t>QC evidence</t>
        </is>
      </c>
    </row>
    <row r="2">
      <c r="A2" t="inlineStr">
        <is>
          <t>6385_54462</t>
        </is>
      </c>
      <c r="B2" t="inlineStr">
        <is>
          <t>Vanford Investment Pte Ltd</t>
        </is>
      </c>
      <c r="C2" t="n">
        <v>27830000</v>
      </c>
      <c r="D2" t="n">
        <v>0.154612</v>
      </c>
      <c r="E2" t="inlineStr">
        <is>
          <t>Commitment</t>
        </is>
      </c>
      <c r="F2" t="n">
        <v>27830000</v>
      </c>
      <c r="G2" t="n">
        <v>0.01</v>
      </c>
      <c r="H2" t="n">
        <v>69575</v>
      </c>
      <c r="I2" t="n">
        <v>18553.44</v>
      </c>
      <c r="J2" t="n">
        <v>0.8</v>
      </c>
      <c r="K2" t="n">
        <v>14842.75</v>
      </c>
      <c r="L2" t="n">
        <v>54732.25</v>
      </c>
      <c r="M2" t="inlineStr">
        <is>
          <t>N</t>
        </is>
      </c>
      <c r="N2" t="n">
        <v>18089500</v>
      </c>
      <c r="O2" t="n">
        <v>0</v>
      </c>
      <c r="P2" t="n">
        <v>0</v>
      </c>
      <c r="Q2" t="n">
        <v>18089500</v>
      </c>
      <c r="R2" t="n">
        <v>9740500</v>
      </c>
      <c r="S2" s="21" t="inlineStr">
        <is>
          <t>✓</t>
        </is>
      </c>
    </row>
    <row r="3">
      <c r="A3" t="inlineStr">
        <is>
          <t>4051_19550</t>
        </is>
      </c>
      <c r="B3" t="inlineStr">
        <is>
          <t>Cantley Thurford Trentfield Lanbeck Yardgarth</t>
        </is>
      </c>
      <c r="C3" t="n">
        <v>27760000</v>
      </c>
      <c r="D3" t="n">
        <v>0.154223</v>
      </c>
      <c r="E3" t="inlineStr">
        <is>
          <t>Commitment</t>
        </is>
      </c>
      <c r="F3" t="n">
        <v>27760000</v>
      </c>
      <c r="G3" t="n">
        <v>0.01</v>
      </c>
      <c r="H3" t="n">
        <v>69400</v>
      </c>
      <c r="I3" t="n">
        <v>18506.76</v>
      </c>
      <c r="J3" t="n">
        <v>0.8</v>
      </c>
      <c r="K3" t="n">
        <v>14805.41</v>
      </c>
      <c r="L3" t="n">
        <v>54594.59</v>
      </c>
      <c r="M3" t="inlineStr">
        <is>
          <t>N</t>
        </is>
      </c>
      <c r="N3" t="n">
        <v>18044000</v>
      </c>
      <c r="O3" t="n">
        <v>0</v>
      </c>
      <c r="P3" t="n">
        <v>0</v>
      </c>
      <c r="Q3" t="n">
        <v>18044000</v>
      </c>
      <c r="R3" t="n">
        <v>9716000</v>
      </c>
      <c r="S3" s="21" t="inlineStr">
        <is>
          <t>✓</t>
        </is>
      </c>
    </row>
    <row r="4">
      <c r="A4" t="inlineStr">
        <is>
          <t>3858_92723</t>
        </is>
      </c>
      <c r="B4" t="inlineStr">
        <is>
          <t>CIK Investment Wickdale Private Holdings (4) Inc.</t>
        </is>
      </c>
      <c r="C4" t="n">
        <v>21103000</v>
      </c>
      <c r="D4" t="n">
        <v>0.11724</v>
      </c>
      <c r="E4" t="inlineStr">
        <is>
          <t>Commitment</t>
        </is>
      </c>
      <c r="F4" t="n">
        <v>21103000</v>
      </c>
      <c r="G4" t="n">
        <v>0.01</v>
      </c>
      <c r="H4" t="n">
        <v>52757.5</v>
      </c>
      <c r="I4" t="n">
        <v>14068.8</v>
      </c>
      <c r="J4" t="n">
        <v>0.8</v>
      </c>
      <c r="K4" t="n">
        <v>11255.04</v>
      </c>
      <c r="L4" t="n">
        <v>41502.46</v>
      </c>
      <c r="M4" t="inlineStr">
        <is>
          <t>N</t>
        </is>
      </c>
      <c r="N4" t="n">
        <v>13716950</v>
      </c>
      <c r="O4" t="n">
        <v>0</v>
      </c>
      <c r="P4" t="n">
        <v>0</v>
      </c>
      <c r="Q4" t="n">
        <v>13716950</v>
      </c>
      <c r="R4" t="n">
        <v>7386050</v>
      </c>
      <c r="S4" s="21" t="inlineStr">
        <is>
          <t>✓</t>
        </is>
      </c>
    </row>
    <row r="5">
      <c r="A5" t="inlineStr">
        <is>
          <t>6247_11149</t>
        </is>
      </c>
      <c r="B5" t="inlineStr">
        <is>
          <t>NUV16SUN Penmont Ltd.</t>
        </is>
      </c>
      <c r="C5" t="n">
        <v>16900000</v>
      </c>
      <c r="D5" t="n">
        <v>0.093889</v>
      </c>
      <c r="E5" t="inlineStr">
        <is>
          <t>Commitment</t>
        </is>
      </c>
      <c r="F5" t="n">
        <v>16900000</v>
      </c>
      <c r="G5" t="n">
        <v>0.01</v>
      </c>
      <c r="H5" t="n">
        <v>42250</v>
      </c>
      <c r="I5" t="n">
        <v>11266.68</v>
      </c>
      <c r="J5" t="n">
        <v>0.8</v>
      </c>
      <c r="K5" t="n">
        <v>9013.34</v>
      </c>
      <c r="L5" t="n">
        <v>33236.66</v>
      </c>
      <c r="M5" t="inlineStr">
        <is>
          <t>N</t>
        </is>
      </c>
      <c r="N5" t="n">
        <v>10985000</v>
      </c>
      <c r="O5" t="n">
        <v>0</v>
      </c>
      <c r="P5" t="n">
        <v>0</v>
      </c>
      <c r="Q5" t="n">
        <v>10985000</v>
      </c>
      <c r="R5" t="n">
        <v>5915000</v>
      </c>
      <c r="S5" s="21" t="inlineStr">
        <is>
          <t>✓</t>
        </is>
      </c>
    </row>
    <row r="6">
      <c r="A6" t="inlineStr">
        <is>
          <t>4108_63195</t>
        </is>
      </c>
      <c r="B6" t="inlineStr">
        <is>
          <t>Thurford of Davgarth Investment Wickdale</t>
        </is>
      </c>
      <c r="C6" t="n">
        <v>14959000</v>
      </c>
      <c r="D6" t="n">
        <v>0.083106</v>
      </c>
      <c r="E6" t="inlineStr">
        <is>
          <t>Commitment</t>
        </is>
      </c>
      <c r="F6" t="n">
        <v>14959000</v>
      </c>
      <c r="G6" t="n">
        <v>0.01</v>
      </c>
      <c r="H6" t="n">
        <v>37397.5</v>
      </c>
      <c r="I6" t="n">
        <v>9972.719999999999</v>
      </c>
      <c r="J6" t="n">
        <v>0.8</v>
      </c>
      <c r="K6" t="n">
        <v>7978.18</v>
      </c>
      <c r="L6" t="n">
        <v>29419.32</v>
      </c>
      <c r="M6" t="inlineStr">
        <is>
          <t>N</t>
        </is>
      </c>
      <c r="N6" t="n">
        <v>9723350</v>
      </c>
      <c r="O6" t="n">
        <v>0</v>
      </c>
      <c r="P6" t="n">
        <v>0</v>
      </c>
      <c r="Q6" t="n">
        <v>9723350</v>
      </c>
      <c r="R6" t="n">
        <v>5235650</v>
      </c>
      <c r="S6" s="21" t="inlineStr">
        <is>
          <t>✓</t>
        </is>
      </c>
    </row>
    <row r="7">
      <c r="A7" t="inlineStr">
        <is>
          <t>7335_02891</t>
        </is>
      </c>
      <c r="B7" t="inlineStr">
        <is>
          <t>Trentcombe Fund Investors LLC</t>
        </is>
      </c>
      <c r="C7" t="n">
        <v>13916000</v>
      </c>
      <c r="D7" t="n">
        <v>0.07731200000000001</v>
      </c>
      <c r="E7" t="inlineStr">
        <is>
          <t>Commitment</t>
        </is>
      </c>
      <c r="F7" t="n">
        <v>13916000</v>
      </c>
      <c r="G7" t="n">
        <v>0.008500000000000001</v>
      </c>
      <c r="H7" t="n">
        <v>29571.5</v>
      </c>
      <c r="I7" t="n">
        <v>9277.440000000001</v>
      </c>
      <c r="J7" t="n">
        <v>0.8</v>
      </c>
      <c r="K7" t="n">
        <v>7421.95</v>
      </c>
      <c r="L7" t="n">
        <v>22149.55</v>
      </c>
      <c r="M7" s="22" t="inlineStr">
        <is>
          <t>N</t>
        </is>
      </c>
      <c r="N7" t="n">
        <v>9045400</v>
      </c>
      <c r="O7" t="n">
        <v>0</v>
      </c>
      <c r="P7" t="n">
        <v>0</v>
      </c>
      <c r="Q7" t="n">
        <v>9045400</v>
      </c>
      <c r="R7" s="22" t="n">
        <v>4870600</v>
      </c>
      <c r="S7" s="23" t="inlineStr">
        <is>
          <t>✗ TC03</t>
        </is>
      </c>
      <c r="T7" t="inlineStr">
        <is>
          <t>fee_inside_commitment_applied=N, fee_inside_commitment=Y, unfunded_end=4870600, unfunded_expected=4848450.45, unfunded_overstated_by=22149.55, source_clause=2(a), 2(b), 4</t>
        </is>
      </c>
    </row>
    <row r="8">
      <c r="A8" t="inlineStr">
        <is>
          <t>4130_22337</t>
        </is>
      </c>
      <c r="B8" t="inlineStr">
        <is>
          <t>Selstead TUW-Zellley</t>
        </is>
      </c>
      <c r="C8" t="n">
        <v>10200000</v>
      </c>
      <c r="D8" t="n">
        <v>0.056667</v>
      </c>
      <c r="E8" t="inlineStr">
        <is>
          <t>Commitment</t>
        </is>
      </c>
      <c r="F8" t="n">
        <v>10200000</v>
      </c>
      <c r="G8" t="n">
        <v>0.01</v>
      </c>
      <c r="H8" t="n">
        <v>25500</v>
      </c>
      <c r="I8" t="n">
        <v>6800.04</v>
      </c>
      <c r="J8" t="n">
        <v>0.8</v>
      </c>
      <c r="K8" t="n">
        <v>5440.03</v>
      </c>
      <c r="L8" t="n">
        <v>20059.97</v>
      </c>
      <c r="M8" t="inlineStr">
        <is>
          <t>N</t>
        </is>
      </c>
      <c r="N8" t="n">
        <v>6630000</v>
      </c>
      <c r="O8" t="n">
        <v>0</v>
      </c>
      <c r="P8" t="n">
        <v>0</v>
      </c>
      <c r="Q8" t="n">
        <v>6630000</v>
      </c>
      <c r="R8" t="n">
        <v>3570000</v>
      </c>
      <c r="S8" s="21" t="inlineStr">
        <is>
          <t>✓</t>
        </is>
      </c>
    </row>
    <row r="9">
      <c r="A9" t="inlineStr">
        <is>
          <t>4324_22834</t>
        </is>
      </c>
      <c r="B9" t="inlineStr">
        <is>
          <t>Oakbeck Investments Private Equity Fund, L.P.</t>
        </is>
      </c>
      <c r="C9" t="n">
        <v>7034000</v>
      </c>
      <c r="D9" t="n">
        <v>0.039078</v>
      </c>
      <c r="E9" t="inlineStr">
        <is>
          <t>Commitment</t>
        </is>
      </c>
      <c r="F9" t="n">
        <v>7034000</v>
      </c>
      <c r="G9" t="n">
        <v>0.01</v>
      </c>
      <c r="H9" t="n">
        <v>17585</v>
      </c>
      <c r="I9" t="n">
        <v>4689.36</v>
      </c>
      <c r="J9" t="n">
        <v>0.8</v>
      </c>
      <c r="K9" t="n">
        <v>3751.49</v>
      </c>
      <c r="L9" t="n">
        <v>13833.51</v>
      </c>
      <c r="M9" t="inlineStr">
        <is>
          <t>N</t>
        </is>
      </c>
      <c r="N9" t="n">
        <v>4572100</v>
      </c>
      <c r="O9" t="n">
        <v>0</v>
      </c>
      <c r="P9" t="n">
        <v>0</v>
      </c>
      <c r="Q9" t="n">
        <v>4572100</v>
      </c>
      <c r="R9" t="n">
        <v>2461900</v>
      </c>
      <c r="S9" s="21" t="inlineStr">
        <is>
          <t>✓</t>
        </is>
      </c>
    </row>
    <row r="10">
      <c r="A10" t="inlineStr">
        <is>
          <t>5719_43500</t>
        </is>
      </c>
      <c r="B10" t="inlineStr">
        <is>
          <t>Eddwick Co-Investment Holdings V, L.P.</t>
        </is>
      </c>
      <c r="C10" t="n">
        <v>7034000</v>
      </c>
      <c r="D10" t="n">
        <v>0.039078</v>
      </c>
      <c r="E10" t="inlineStr">
        <is>
          <t>Commitment</t>
        </is>
      </c>
      <c r="F10" t="n">
        <v>7034000</v>
      </c>
      <c r="G10" t="n">
        <v>0.01</v>
      </c>
      <c r="H10" t="n">
        <v>17585</v>
      </c>
      <c r="I10" t="n">
        <v>4689.36</v>
      </c>
      <c r="J10" t="n">
        <v>0.8</v>
      </c>
      <c r="K10" t="n">
        <v>3751.49</v>
      </c>
      <c r="L10" t="n">
        <v>13833.51</v>
      </c>
      <c r="M10" t="inlineStr">
        <is>
          <t>N</t>
        </is>
      </c>
      <c r="N10" t="n">
        <v>4572100</v>
      </c>
      <c r="O10" t="n">
        <v>0</v>
      </c>
      <c r="P10" t="n">
        <v>0</v>
      </c>
      <c r="Q10" t="n">
        <v>4572100</v>
      </c>
      <c r="R10" t="n">
        <v>2461900</v>
      </c>
      <c r="S10" s="21" t="inlineStr">
        <is>
          <t>✓</t>
        </is>
      </c>
    </row>
    <row r="11">
      <c r="A11" t="inlineStr">
        <is>
          <t>0386_00038</t>
        </is>
      </c>
      <c r="B11" t="inlineStr">
        <is>
          <t>Thurford Wrenmere Steenvale Limited as covwold of Lindcombe Lanbeck NODE</t>
        </is>
      </c>
      <c r="C11" t="n">
        <v>6958000</v>
      </c>
      <c r="D11" t="n">
        <v>0.038656</v>
      </c>
      <c r="E11" t="inlineStr">
        <is>
          <t>Commitment</t>
        </is>
      </c>
      <c r="F11" t="n">
        <v>6958000</v>
      </c>
      <c r="G11" t="n">
        <v>0.01</v>
      </c>
      <c r="H11" t="n">
        <v>17395</v>
      </c>
      <c r="I11" t="n">
        <v>4638.72</v>
      </c>
      <c r="J11" t="n">
        <v>0.8</v>
      </c>
      <c r="K11" t="n">
        <v>3710.98</v>
      </c>
      <c r="L11" t="n">
        <v>13684.02</v>
      </c>
      <c r="M11" t="inlineStr">
        <is>
          <t>N</t>
        </is>
      </c>
      <c r="N11" t="n">
        <v>4522700</v>
      </c>
      <c r="O11" t="n">
        <v>0</v>
      </c>
      <c r="P11" t="n">
        <v>0</v>
      </c>
      <c r="Q11" t="n">
        <v>4522700</v>
      </c>
      <c r="R11" t="n">
        <v>2435300</v>
      </c>
      <c r="S11" s="21" t="inlineStr">
        <is>
          <t>✓</t>
        </is>
      </c>
    </row>
    <row r="12">
      <c r="A12" t="inlineStr">
        <is>
          <t>2215_32092</t>
        </is>
      </c>
      <c r="B12" t="inlineStr">
        <is>
          <t>Clanfield Lanbeck Yardgarth of Ostdale</t>
        </is>
      </c>
      <c r="C12" t="n">
        <v>6958000</v>
      </c>
      <c r="D12" t="n">
        <v>0.038656</v>
      </c>
      <c r="E12" t="inlineStr">
        <is>
          <t>Commitment</t>
        </is>
      </c>
      <c r="F12" t="n">
        <v>6958000</v>
      </c>
      <c r="G12" t="n">
        <v>0.01</v>
      </c>
      <c r="H12" t="n">
        <v>17395</v>
      </c>
      <c r="I12" t="n">
        <v>4638.72</v>
      </c>
      <c r="J12" t="n">
        <v>0.8</v>
      </c>
      <c r="K12" t="n">
        <v>3710.98</v>
      </c>
      <c r="L12" t="n">
        <v>13684.02</v>
      </c>
      <c r="M12" t="inlineStr">
        <is>
          <t>N</t>
        </is>
      </c>
      <c r="N12" t="n">
        <v>4522700</v>
      </c>
      <c r="O12" t="n">
        <v>0</v>
      </c>
      <c r="P12" t="n">
        <v>0</v>
      </c>
      <c r="Q12" t="n">
        <v>4522700</v>
      </c>
      <c r="R12" t="n">
        <v>2435300</v>
      </c>
      <c r="S12" s="21" t="inlineStr">
        <is>
          <t>✓</t>
        </is>
      </c>
    </row>
    <row r="13">
      <c r="A13" t="inlineStr">
        <is>
          <t>6250_22863</t>
        </is>
      </c>
      <c r="B13" t="inlineStr">
        <is>
          <t>Innfield Brinbeck Global Private Equity LP</t>
        </is>
      </c>
      <c r="C13" t="n">
        <v>5275000</v>
      </c>
      <c r="D13" t="n">
        <v>0.029306</v>
      </c>
      <c r="E13" t="inlineStr">
        <is>
          <t>Commitment</t>
        </is>
      </c>
      <c r="F13" t="n">
        <v>5275000</v>
      </c>
      <c r="G13" t="n">
        <v>0.01</v>
      </c>
      <c r="H13" t="n">
        <v>13187.5</v>
      </c>
      <c r="I13" t="n">
        <v>3516.72</v>
      </c>
      <c r="J13" t="n">
        <v>0.8</v>
      </c>
      <c r="K13" t="n">
        <v>2813.38</v>
      </c>
      <c r="L13" t="n">
        <v>10374.12</v>
      </c>
      <c r="M13" t="inlineStr">
        <is>
          <t>N</t>
        </is>
      </c>
      <c r="N13" t="n">
        <v>3428750</v>
      </c>
      <c r="O13" t="n">
        <v>0</v>
      </c>
      <c r="P13" t="n">
        <v>0</v>
      </c>
      <c r="Q13" t="n">
        <v>3428750</v>
      </c>
      <c r="R13" t="n">
        <v>1846250</v>
      </c>
      <c r="S13" s="21" t="inlineStr">
        <is>
          <t>✓</t>
        </is>
      </c>
    </row>
    <row r="14">
      <c r="A14" t="inlineStr">
        <is>
          <t>0203_02361</t>
        </is>
      </c>
      <c r="B14" t="inlineStr">
        <is>
          <t>NUV16CIL Penmont Ltd.</t>
        </is>
      </c>
      <c r="C14" t="n">
        <v>3974000</v>
      </c>
      <c r="D14" t="n">
        <v>0.022078</v>
      </c>
      <c r="E14" t="inlineStr">
        <is>
          <t>Commitment</t>
        </is>
      </c>
      <c r="F14" t="n">
        <v>3974000</v>
      </c>
      <c r="G14" t="n">
        <v>0.01</v>
      </c>
      <c r="H14" t="n">
        <v>9935</v>
      </c>
      <c r="I14" t="n">
        <v>2649.36</v>
      </c>
      <c r="J14" t="n">
        <v>0.8</v>
      </c>
      <c r="K14" t="n">
        <v>2119.49</v>
      </c>
      <c r="L14" t="n">
        <v>7815.51</v>
      </c>
      <c r="M14" t="inlineStr">
        <is>
          <t>N</t>
        </is>
      </c>
      <c r="N14" t="n">
        <v>2583100</v>
      </c>
      <c r="O14" t="n">
        <v>0</v>
      </c>
      <c r="P14" t="n">
        <v>0</v>
      </c>
      <c r="Q14" t="n">
        <v>2583100</v>
      </c>
      <c r="R14" t="n">
        <v>1390900</v>
      </c>
      <c r="S14" s="21" t="inlineStr">
        <is>
          <t>✓</t>
        </is>
      </c>
    </row>
    <row r="15">
      <c r="A15" t="inlineStr">
        <is>
          <t>5160_94021</t>
        </is>
      </c>
      <c r="B15" t="inlineStr">
        <is>
          <t>Zellworth Capital, a VEJ of Zellworth Family Holdings, LLC, a Cantley limited liability company</t>
        </is>
      </c>
      <c r="C15" t="n">
        <v>2813000</v>
      </c>
      <c r="D15" t="n">
        <v>0.015628</v>
      </c>
      <c r="E15" t="inlineStr">
        <is>
          <t>Commitment</t>
        </is>
      </c>
      <c r="F15" t="n">
        <v>2813000</v>
      </c>
      <c r="G15" t="n">
        <v>0.01</v>
      </c>
      <c r="H15" t="n">
        <v>7032.5</v>
      </c>
      <c r="I15" t="n">
        <v>1875.36</v>
      </c>
      <c r="J15" t="n">
        <v>0.8</v>
      </c>
      <c r="K15" t="n">
        <v>1500.29</v>
      </c>
      <c r="L15" t="n">
        <v>5532.21</v>
      </c>
      <c r="M15" t="inlineStr">
        <is>
          <t>N</t>
        </is>
      </c>
      <c r="N15" t="n">
        <v>1828450</v>
      </c>
      <c r="O15" t="n">
        <v>0</v>
      </c>
      <c r="P15" t="n">
        <v>0</v>
      </c>
      <c r="Q15" t="n">
        <v>1828450</v>
      </c>
      <c r="R15" t="n">
        <v>984550</v>
      </c>
      <c r="S15" s="21" t="inlineStr">
        <is>
          <t>✓</t>
        </is>
      </c>
    </row>
    <row r="16">
      <c r="A16" t="inlineStr">
        <is>
          <t>5210_59843</t>
        </is>
      </c>
      <c r="B16" t="inlineStr">
        <is>
          <t>Nethbury Norvale Private Equity Fund, FEL</t>
        </is>
      </c>
      <c r="C16" t="n">
        <v>2462000</v>
      </c>
      <c r="D16" t="n">
        <v>0.013678</v>
      </c>
      <c r="E16" t="inlineStr">
        <is>
          <t>Commitment</t>
        </is>
      </c>
      <c r="F16" t="n">
        <v>2462000</v>
      </c>
      <c r="G16" t="n">
        <v>0.01</v>
      </c>
      <c r="H16" t="n">
        <v>6155</v>
      </c>
      <c r="I16" t="n">
        <v>1641.36</v>
      </c>
      <c r="J16" t="n">
        <v>0.8</v>
      </c>
      <c r="K16" t="n">
        <v>1313.09</v>
      </c>
      <c r="L16" t="n">
        <v>4841.91</v>
      </c>
      <c r="M16" t="inlineStr">
        <is>
          <t>N</t>
        </is>
      </c>
      <c r="N16" t="n">
        <v>1600300</v>
      </c>
      <c r="O16" t="n">
        <v>0</v>
      </c>
      <c r="P16" t="n">
        <v>0</v>
      </c>
      <c r="Q16" t="n">
        <v>1600300</v>
      </c>
      <c r="R16" t="n">
        <v>861700</v>
      </c>
      <c r="S16" s="21" t="inlineStr">
        <is>
          <t>✓</t>
        </is>
      </c>
    </row>
    <row r="17">
      <c r="A17" t="inlineStr">
        <is>
          <t>3009_03432</t>
        </is>
      </c>
      <c r="B17" t="inlineStr">
        <is>
          <t>Renberg Grenshaw Oakwold Yardgarth</t>
        </is>
      </c>
      <c r="C17" t="n">
        <v>2462000</v>
      </c>
      <c r="D17" t="n">
        <v>0.013678</v>
      </c>
      <c r="E17" t="inlineStr">
        <is>
          <t>Commitment</t>
        </is>
      </c>
      <c r="F17" t="n">
        <v>2462000</v>
      </c>
      <c r="G17" t="n">
        <v>0.01</v>
      </c>
      <c r="H17" t="n">
        <v>6155</v>
      </c>
      <c r="I17" t="n">
        <v>1641.36</v>
      </c>
      <c r="J17" t="n">
        <v>0.8</v>
      </c>
      <c r="K17" t="n">
        <v>1313.09</v>
      </c>
      <c r="L17" t="n">
        <v>4841.91</v>
      </c>
      <c r="M17" t="inlineStr">
        <is>
          <t>N</t>
        </is>
      </c>
      <c r="N17" t="n">
        <v>1600300</v>
      </c>
      <c r="O17" t="n">
        <v>0</v>
      </c>
      <c r="P17" t="n">
        <v>0</v>
      </c>
      <c r="Q17" t="n">
        <v>1600300</v>
      </c>
      <c r="R17" t="n">
        <v>861700</v>
      </c>
      <c r="S17" s="21" t="inlineStr">
        <is>
          <t>✓</t>
        </is>
      </c>
    </row>
    <row r="18">
      <c r="A18" t="inlineStr">
        <is>
          <t>3165_39026</t>
        </is>
      </c>
      <c r="B18" t="inlineStr">
        <is>
          <t>VAX Norvale Holdings LP</t>
        </is>
      </c>
      <c r="C18" t="n">
        <v>1306000</v>
      </c>
      <c r="D18" t="n">
        <v>0.007256</v>
      </c>
      <c r="E18" t="inlineStr">
        <is>
          <t>Commitment</t>
        </is>
      </c>
      <c r="F18" t="n">
        <v>1306000</v>
      </c>
      <c r="G18" t="n">
        <v>0.01</v>
      </c>
      <c r="H18" t="n">
        <v>3265</v>
      </c>
      <c r="I18" t="n">
        <v>870.72</v>
      </c>
      <c r="J18" t="n">
        <v>0.8</v>
      </c>
      <c r="K18" t="n">
        <v>696.58</v>
      </c>
      <c r="L18" t="n">
        <v>2568.42</v>
      </c>
      <c r="M18" t="inlineStr">
        <is>
          <t>N</t>
        </is>
      </c>
      <c r="N18" t="n">
        <v>848900</v>
      </c>
      <c r="O18" t="n">
        <v>0</v>
      </c>
      <c r="P18" t="n">
        <v>0</v>
      </c>
      <c r="Q18" t="n">
        <v>848900</v>
      </c>
      <c r="R18" t="n">
        <v>457100</v>
      </c>
      <c r="S18" s="21" t="inlineStr">
        <is>
          <t>✓</t>
        </is>
      </c>
    </row>
    <row r="19">
      <c r="A19" t="inlineStr">
        <is>
          <t>3043_04282</t>
        </is>
      </c>
      <c r="B19" t="inlineStr">
        <is>
          <t>Renberg Grenshaw Norstead Umbholm and NODE</t>
        </is>
      </c>
      <c r="C19" t="n">
        <v>1055000</v>
      </c>
      <c r="D19" t="n">
        <v>0.005861</v>
      </c>
      <c r="E19" t="inlineStr">
        <is>
          <t>Commitment</t>
        </is>
      </c>
      <c r="F19" t="n">
        <v>1055000</v>
      </c>
      <c r="G19" t="n">
        <v>0.01</v>
      </c>
      <c r="H19" t="n">
        <v>2637.5</v>
      </c>
      <c r="I19" t="n">
        <v>703.3200000000001</v>
      </c>
      <c r="J19" t="n">
        <v>0.8</v>
      </c>
      <c r="K19" t="n">
        <v>562.66</v>
      </c>
      <c r="L19" t="n">
        <v>2074.84</v>
      </c>
      <c r="M19" t="inlineStr">
        <is>
          <t>N</t>
        </is>
      </c>
      <c r="N19" t="n">
        <v>685750</v>
      </c>
      <c r="O19" t="n">
        <v>0</v>
      </c>
      <c r="P19" t="n">
        <v>0</v>
      </c>
      <c r="Q19" t="n">
        <v>685750</v>
      </c>
      <c r="R19" t="n">
        <v>369250</v>
      </c>
      <c r="S19" s="21" t="inlineStr">
        <is>
          <t>✓</t>
        </is>
      </c>
    </row>
    <row r="20">
      <c r="A20" t="inlineStr">
        <is>
          <t>TOTAL</t>
        </is>
      </c>
      <c r="C20" t="n">
        <v>179999000</v>
      </c>
      <c r="D20" t="n">
        <v>1.000002</v>
      </c>
      <c r="F20" t="n">
        <v>179999000</v>
      </c>
      <c r="H20" t="n">
        <v>444779</v>
      </c>
      <c r="I20" t="n">
        <v>120000.24</v>
      </c>
      <c r="K20" t="n">
        <v>96000.22</v>
      </c>
      <c r="L20" t="n">
        <v>348778.78</v>
      </c>
      <c r="N20" t="n">
        <v>116999350</v>
      </c>
      <c r="O20" t="n">
        <v>0</v>
      </c>
      <c r="P20" t="n">
        <v>0</v>
      </c>
      <c r="Q20" t="n">
        <v>116999350</v>
      </c>
      <c r="R20" t="n">
        <v>62999650</v>
      </c>
      <c r="S20" s="21" t="inlineStr">
        <is>
          <t>✓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2026-09-05T21:20:41Z</dcterms:created>
  <dcterms:modified xsi:type="dcterms:W3CDTF">2026-09-06T00:52:55Z</dcterms:modified>
</cp:coreProperties>
</file>